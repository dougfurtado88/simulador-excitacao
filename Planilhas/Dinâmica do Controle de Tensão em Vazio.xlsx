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ebextensions/webextension1.xml" ContentType="application/vnd.ms-office.webextension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epbrazil.sharepoint.com/teams/epse/Cloud Box/05 - SUPORTE/05.08 - Claude/Sistema de Excitação/"/>
    </mc:Choice>
  </mc:AlternateContent>
  <xr:revisionPtr revIDLastSave="204" documentId="13_ncr:1_{DCDA9D18-B5EE-49B8-BBD4-848907C92C6F}" xr6:coauthVersionLast="47" xr6:coauthVersionMax="47" xr10:uidLastSave="{F42872CF-7F8D-443A-89B5-291CC866EBE0}"/>
  <bookViews>
    <workbookView xWindow="-120" yWindow="-120" windowWidth="29040" windowHeight="15720" tabRatio="743" xr2:uid="{8B07E3EE-F669-49E3-BF80-35F2CBA9E4E4}"/>
  </bookViews>
  <sheets>
    <sheet name="Tensão a Vázio" sheetId="13" r:id="rId1"/>
    <sheet name="Diário" sheetId="6" state="hidden" r:id="rId2"/>
    <sheet name="Planilha1" sheetId="7" state="hidden" r:id="rId3"/>
  </sheets>
  <definedNames>
    <definedName name="_xlnm._FilterDatabase" localSheetId="1" hidden="1">Diário!$B$5:$T$43</definedName>
    <definedName name="DG_COP_CS">#REF!</definedName>
    <definedName name="DG_COP_REV_TIPO">#REF!</definedName>
    <definedName name="DG_CTE_TLD_DS">#REF!</definedName>
    <definedName name="DG_CTE_TLLD_DS">#REF!</definedName>
    <definedName name="DG_CTE_TLLQ_DS">#REF!</definedName>
    <definedName name="DG_CTE_TLQ_DS">#REF!</definedName>
    <definedName name="DG_IFD_AG">IF(ISNUMBER([0]!EN_IFD_AG),[0]!EN_IFD_AG,[0]!DS_IFD_AG)</definedName>
    <definedName name="DG_IFD_NL">IF(ISNUMBER([0]!EN_IFD_NL),[0]!EN_IFD_NL,[0]!DS_IFD_NL)</definedName>
    <definedName name="DG_IFE_AG">#REF!</definedName>
    <definedName name="DG_IFE_NL">#REF!</definedName>
    <definedName name="DG_PLACA_REPOT">#REF!</definedName>
    <definedName name="DG_PLACA_ROTOR">#REF!</definedName>
    <definedName name="DG_PLACA_RPM">#REF!</definedName>
    <definedName name="DG_XDNS">#REF!</definedName>
    <definedName name="DG_XLDNS">#REF!</definedName>
    <definedName name="DG_XLLDNS">#REF!</definedName>
    <definedName name="DG_XLLQNS">#REF!</definedName>
    <definedName name="DG_XLQNS">#REF!</definedName>
    <definedName name="DG_XQNS">#REF!</definedName>
    <definedName name="DS_IFD_AG">#REF!</definedName>
    <definedName name="DS_IFD_NL">#REF!</definedName>
    <definedName name="EN_IFD_AG">#REF!</definedName>
    <definedName name="EN_IFD_NL">#REF!</definedName>
    <definedName name="EST_D_B1">[0]!DG_XDNS*[0]!DG_CTE_TLD_DS/[0]!DG_XLDNS+([0]!DG_XDNS/[0]!DG_XLLDNS-[0]!DG_XDNS/[0]!DG_XLDNS+1)*[0]!DG_CTE_TLLD_DS</definedName>
    <definedName name="EST_D_B2">[0]!DG_XDNS*[0]!DG_CTE_TLD_DS*[0]!DG_CTE_TLLD_DS/[0]!DG_XLLDNS</definedName>
    <definedName name="EST_Q_B1">IF([0]!DG_PLACA_ROTOR="Polos Salientes",[0]!DG_XQNS*[0]!DG_CTE_TLQ_DS/[0]!DG_XQNS+([0]!DG_XQNS/[0]!DG_XLLQNS-[0]!DG_XQNS/[0]!DG_XQNS+1)*[0]!DG_CTE_TLLD_DS,[0]!DG_XQNS*[0]!DG_CTE_TLQ_DS/[0]!DG_XLQNS+([0]!DG_XQNS/[0]!DG_XLLQNS-[0]!DG_XQNS/[0]!DG_XLQNS+1)*[0]!DG_CTE_TLLQ_DS)</definedName>
    <definedName name="EST_Q_B2">[0]!DG_XQNS*[0]!DG_CTE_TLQ_DS*[0]!DG_CTE_TLLQ_DS/[0]!DG_XLLQNS</definedName>
    <definedName name="INST.AGENTE">#REF!</definedName>
    <definedName name="INST.BS">#REF!</definedName>
    <definedName name="INST.CCT">#REF!</definedName>
    <definedName name="INST.CEG">#REF!</definedName>
    <definedName name="INST.CONJ">#REF!</definedName>
    <definedName name="INST.DESPACHO">#REF!</definedName>
    <definedName name="INST.ENERG">#REF!</definedName>
    <definedName name="INST.ISO.AUTO">#REF!</definedName>
    <definedName name="INST.MODALIDADE">#REF!</definedName>
    <definedName name="INST.NOME">#REF!</definedName>
    <definedName name="INST.NUG">#REF!</definedName>
    <definedName name="INST.OP.ISO">#REF!</definedName>
    <definedName name="INST.TIP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13" l="1"/>
  <c r="A37" i="13"/>
  <c r="K68" i="13"/>
  <c r="E67" i="13"/>
  <c r="E68" i="13"/>
  <c r="Q67" i="13"/>
  <c r="K67" i="13"/>
  <c r="J37" i="13"/>
  <c r="G37" i="13"/>
  <c r="A45" i="13"/>
  <c r="A43" i="13"/>
  <c r="A47" i="13" l="1"/>
</calcChain>
</file>

<file path=xl/sharedStrings.xml><?xml version="1.0" encoding="utf-8"?>
<sst xmlns="http://schemas.openxmlformats.org/spreadsheetml/2006/main" count="155" uniqueCount="83">
  <si>
    <t>Item</t>
  </si>
  <si>
    <t>Tipo</t>
  </si>
  <si>
    <t>Data</t>
  </si>
  <si>
    <t>Comando</t>
  </si>
  <si>
    <t>Ensaios</t>
  </si>
  <si>
    <t>Descrição dos Ensaios</t>
  </si>
  <si>
    <t>Executado</t>
  </si>
  <si>
    <t>N/A</t>
  </si>
  <si>
    <t>Sim</t>
  </si>
  <si>
    <t>Sistema</t>
  </si>
  <si>
    <t>Sequência de Atividades - Lote 14 CS Tucumã</t>
  </si>
  <si>
    <t>SFC</t>
  </si>
  <si>
    <r>
      <t xml:space="preserve">Tentativa de teste </t>
    </r>
    <r>
      <rPr>
        <b/>
        <sz val="8"/>
        <rFont val="GE Inspira"/>
        <family val="2"/>
      </rPr>
      <t>"Rotot Position"</t>
    </r>
  </si>
  <si>
    <r>
      <t xml:space="preserve">Tentativa de teste </t>
    </r>
    <r>
      <rPr>
        <b/>
        <sz val="8"/>
        <rFont val="GE Inspira"/>
        <family val="2"/>
      </rPr>
      <t>"Rotot Position"</t>
    </r>
    <r>
      <rPr>
        <sz val="8"/>
        <rFont val="GE Inspira"/>
        <family val="2"/>
      </rPr>
      <t xml:space="preserve"> - falha pelo SFC</t>
    </r>
  </si>
  <si>
    <t>Falha no SFC</t>
  </si>
  <si>
    <r>
      <t xml:space="preserve">Tentativa de teste </t>
    </r>
    <r>
      <rPr>
        <b/>
        <sz val="8"/>
        <rFont val="GE Inspira"/>
        <family val="2"/>
      </rPr>
      <t>"Rotot Position"</t>
    </r>
    <r>
      <rPr>
        <sz val="8"/>
        <rFont val="GE Inspira"/>
        <family val="2"/>
      </rPr>
      <t xml:space="preserve"> - falha pelo SFC
Alteração do ajuste TI de 1,5 para 1,0 no modo FCR</t>
    </r>
  </si>
  <si>
    <t>Partida do SFC de 10% em 10% até 1200RPM</t>
  </si>
  <si>
    <t>Com as alterações do pessoal da NIDEC, foi realizado partida até velocidade nominal</t>
  </si>
  <si>
    <t>Parada do SFC</t>
  </si>
  <si>
    <t>Realizado parada normal</t>
  </si>
  <si>
    <t>Partida em automatico até 1200 RPM</t>
  </si>
  <si>
    <t>Realizado a partida do SFC em automatico até velocidade nominal em 3,54s</t>
  </si>
  <si>
    <t>Controle</t>
  </si>
  <si>
    <t>Validação</t>
  </si>
  <si>
    <t>Falso Sincronismo</t>
  </si>
  <si>
    <t>Realizado o ensaio de falso sincronismo com fechamento do GCB e fechamnto do neutro em aberto.</t>
  </si>
  <si>
    <t>PRT</t>
  </si>
  <si>
    <t xml:space="preserve">Ensaio </t>
  </si>
  <si>
    <t xml:space="preserve">Ensaio de Saturação </t>
  </si>
  <si>
    <t>Ensaio de Curto</t>
  </si>
  <si>
    <t>Realizado o ensaio de saturação de Tensão com GCB Aberto e Bloqueado</t>
  </si>
  <si>
    <t xml:space="preserve">Realizado o ensaio de Curto com a barra de curto circuito no GCB e fechamento </t>
  </si>
  <si>
    <t>Ensaio de partida completa até tensão nominal</t>
  </si>
  <si>
    <t>Partida completa automatico</t>
  </si>
  <si>
    <t>Teste de Repartida automatico</t>
  </si>
  <si>
    <t>Ensaio de repartida (03 Vezes) até tensão nominal com parada completa</t>
  </si>
  <si>
    <t>Teste de tensão nominal</t>
  </si>
  <si>
    <t>Testes de tensão nominal em modo FCR para validação do comissionamento</t>
  </si>
  <si>
    <t>Teste de Degrau</t>
  </si>
  <si>
    <t>1º PASSO</t>
  </si>
  <si>
    <t>Identificar as variáveis apresentadas na figura abaixo</t>
  </si>
  <si>
    <t>Para o degrau positivo</t>
  </si>
  <si>
    <t>Para o degrau negativo</t>
  </si>
  <si>
    <t>Como encontrar as variáveis</t>
  </si>
  <si>
    <t>Entrar com o degrau aplicado</t>
  </si>
  <si>
    <t>Entrar com a tensão inicial</t>
  </si>
  <si>
    <t>Valor final (yf)</t>
  </si>
  <si>
    <t>OBSERVAÇÕES</t>
  </si>
  <si>
    <t>LEGENDA</t>
  </si>
  <si>
    <t>Ao utilizar a planilha para o degrau negativo, colocar o valor do degrau com sinal negativo. Atentar-se para o valor da tensão final e inicial e o valor de Mp. Células em laranja devem ser preenchidas</t>
  </si>
  <si>
    <t>Degrau em %</t>
  </si>
  <si>
    <t>Tensão em pu</t>
  </si>
  <si>
    <t>Valor 10%</t>
  </si>
  <si>
    <t>Valor 90%</t>
  </si>
  <si>
    <t>+ 5%</t>
  </si>
  <si>
    <t>- 5%</t>
  </si>
  <si>
    <t>Variável tp: instante de aplicação do degrau.</t>
  </si>
  <si>
    <t>2º PASSO</t>
  </si>
  <si>
    <t>Substituir as variáveis identificadas no 1º PASSO nos campo indicados</t>
  </si>
  <si>
    <t>3º PASSO</t>
  </si>
  <si>
    <t>Verificar se os requisitos foram atendidos</t>
  </si>
  <si>
    <t>Máximo sobressinal (OS) [%]</t>
  </si>
  <si>
    <t>Tempo de estabilização (Te) [seg]</t>
  </si>
  <si>
    <t>Mp (PU)</t>
  </si>
  <si>
    <t>yf (PU)</t>
  </si>
  <si>
    <r>
      <rPr>
        <b/>
        <sz val="10"/>
        <color indexed="8"/>
        <rFont val="GE Inspira"/>
        <family val="2"/>
      </rPr>
      <t>Mp</t>
    </r>
    <r>
      <rPr>
        <sz val="10"/>
        <color indexed="8"/>
        <rFont val="GE Inspira"/>
        <family val="2"/>
      </rPr>
      <t>: máximo valor de tensão atingido;</t>
    </r>
  </si>
  <si>
    <r>
      <rPr>
        <b/>
        <sz val="10"/>
        <color indexed="8"/>
        <rFont val="GE Inspira"/>
        <family val="2"/>
      </rPr>
      <t>Degrau</t>
    </r>
    <r>
      <rPr>
        <sz val="10"/>
        <color indexed="8"/>
        <rFont val="GE Inspira"/>
        <family val="2"/>
      </rPr>
      <t>: valor de degrau aplicado, exemplo (5%, 2%, etc), entrar com o valor em porcentagem;</t>
    </r>
  </si>
  <si>
    <r>
      <rPr>
        <b/>
        <sz val="10"/>
        <color indexed="8"/>
        <rFont val="GE Inspira"/>
        <family val="2"/>
      </rPr>
      <t>yf</t>
    </r>
    <r>
      <rPr>
        <sz val="10"/>
        <color indexed="8"/>
        <rFont val="GE Inspira"/>
        <family val="2"/>
      </rPr>
      <t>: valor final da tensão atingido após a aplicação do degrau;</t>
    </r>
  </si>
  <si>
    <r>
      <rPr>
        <b/>
        <sz val="10"/>
        <color indexed="8"/>
        <rFont val="GE Inspira"/>
        <family val="2"/>
      </rPr>
      <t>+/- 5%</t>
    </r>
    <r>
      <rPr>
        <sz val="10"/>
        <color indexed="8"/>
        <rFont val="GE Inspira"/>
        <family val="2"/>
      </rPr>
      <t>: faixa de +/- 5% do valor do degrau centralizado no valor final;</t>
    </r>
  </si>
  <si>
    <r>
      <rPr>
        <b/>
        <sz val="10"/>
        <color indexed="8"/>
        <rFont val="GE Inspira"/>
        <family val="2"/>
      </rPr>
      <t>90%</t>
    </r>
    <r>
      <rPr>
        <sz val="10"/>
        <color indexed="8"/>
        <rFont val="GE Inspira"/>
        <family val="2"/>
      </rPr>
      <t>: valor corresponde à 90% do degrau aplicado;</t>
    </r>
  </si>
  <si>
    <r>
      <rPr>
        <b/>
        <sz val="10"/>
        <color indexed="8"/>
        <rFont val="GE Inspira"/>
        <family val="2"/>
      </rPr>
      <t>10%</t>
    </r>
    <r>
      <rPr>
        <sz val="10"/>
        <color indexed="8"/>
        <rFont val="GE Inspira"/>
        <family val="2"/>
      </rPr>
      <t>: valor corresponde à 10% do degrau aplicado;</t>
    </r>
  </si>
  <si>
    <r>
      <rPr>
        <b/>
        <sz val="10"/>
        <color indexed="8"/>
        <rFont val="GE Inspira"/>
        <family val="2"/>
      </rPr>
      <t>tf</t>
    </r>
    <r>
      <rPr>
        <sz val="10"/>
        <color indexed="8"/>
        <rFont val="GE Inspira"/>
        <family val="2"/>
      </rPr>
      <t>: tempo corresponde ao momento em que a tensão adentra/permanece na faixa de +/- 5%;</t>
    </r>
  </si>
  <si>
    <r>
      <rPr>
        <b/>
        <sz val="10"/>
        <color indexed="8"/>
        <rFont val="GE Inspira"/>
        <family val="2"/>
      </rPr>
      <t>t90</t>
    </r>
    <r>
      <rPr>
        <sz val="10"/>
        <color indexed="8"/>
        <rFont val="GE Inspira"/>
        <family val="2"/>
      </rPr>
      <t>: tempo corresponde ao momento em que a tensão atinge o valor 90%;</t>
    </r>
  </si>
  <si>
    <r>
      <rPr>
        <b/>
        <sz val="10"/>
        <color indexed="8"/>
        <rFont val="GE Inspira"/>
        <family val="2"/>
      </rPr>
      <t>t10</t>
    </r>
    <r>
      <rPr>
        <sz val="10"/>
        <color indexed="8"/>
        <rFont val="GE Inspira"/>
        <family val="2"/>
      </rPr>
      <t>: tempo corresponde ao momento em que a tensão atinge o valor 10%;</t>
    </r>
  </si>
  <si>
    <r>
      <rPr>
        <b/>
        <sz val="10"/>
        <color indexed="8"/>
        <rFont val="GE Inspira"/>
        <family val="2"/>
      </rPr>
      <t>tp</t>
    </r>
    <r>
      <rPr>
        <sz val="10"/>
        <color indexed="8"/>
        <rFont val="GE Inspira"/>
        <family val="2"/>
      </rPr>
      <t>: tempo que corresponde ao momento que o degrau aplicado, no exemplo da figura é zero.</t>
    </r>
  </si>
  <si>
    <t>tp [seg]</t>
  </si>
  <si>
    <t>tf [seg]</t>
  </si>
  <si>
    <t>t10 [seg]</t>
  </si>
  <si>
    <t>t90 [seg]</t>
  </si>
  <si>
    <t>Tempo de subida              (Ts) [seg]</t>
  </si>
  <si>
    <t>Dinâmica do Controle de Tensão em Vazio</t>
  </si>
  <si>
    <t>=((A32*10/100)/100)+D32</t>
  </si>
  <si>
    <t>=Tensão em pu-((Degrau em %/100)*0,05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</si>
</sst>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.000"/>
  </numFmts>
  <fonts count="2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GE Inspira"/>
      <family val="2"/>
    </font>
    <font>
      <sz val="8"/>
      <color theme="1"/>
      <name val="GE Inspira"/>
      <family val="2"/>
    </font>
    <font>
      <b/>
      <sz val="8"/>
      <color theme="1"/>
      <name val="GE Inspira"/>
      <family val="2"/>
    </font>
    <font>
      <b/>
      <sz val="22"/>
      <color theme="0"/>
      <name val="GE Inspira"/>
      <family val="2"/>
    </font>
    <font>
      <sz val="8"/>
      <name val="GE Inspira"/>
      <family val="2"/>
    </font>
    <font>
      <b/>
      <sz val="8"/>
      <name val="GE Inspira"/>
      <family val="2"/>
    </font>
    <font>
      <b/>
      <sz val="9"/>
      <color theme="1"/>
      <name val="GE Inspira"/>
      <family val="2"/>
    </font>
    <font>
      <b/>
      <sz val="11"/>
      <color theme="1"/>
      <name val="GE Inspira"/>
      <family val="2"/>
    </font>
    <font>
      <sz val="11"/>
      <color theme="1"/>
      <name val="GE Inspira"/>
      <family val="2"/>
    </font>
    <font>
      <sz val="10"/>
      <color theme="1"/>
      <name val="GE Inspira"/>
      <family val="2"/>
    </font>
    <font>
      <b/>
      <sz val="10"/>
      <color theme="1"/>
      <name val="GE Inspira"/>
      <family val="2"/>
    </font>
    <font>
      <b/>
      <sz val="14"/>
      <color theme="0"/>
      <name val="GE Inspira"/>
      <family val="2"/>
    </font>
    <font>
      <b/>
      <sz val="20"/>
      <color theme="0"/>
      <name val="GE Inspira"/>
      <family val="2"/>
    </font>
    <font>
      <sz val="14"/>
      <color theme="1"/>
      <name val="GE Inspira"/>
      <family val="2"/>
    </font>
    <font>
      <b/>
      <sz val="14"/>
      <color theme="1"/>
      <name val="GE Inspira"/>
      <family val="2"/>
    </font>
    <font>
      <b/>
      <sz val="12"/>
      <color theme="1"/>
      <name val="GE Inspira"/>
      <family val="2"/>
    </font>
    <font>
      <b/>
      <sz val="10"/>
      <color indexed="8"/>
      <name val="GE Inspira"/>
      <family val="2"/>
    </font>
    <font>
      <sz val="10"/>
      <color indexed="8"/>
      <name val="GE Inspira"/>
      <family val="2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4F4D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249977111117893"/>
        <bgColor indexed="64"/>
      </patternFill>
    </fill>
  </fills>
  <borders count="18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14" fontId="6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vertical="center"/>
    </xf>
    <xf numFmtId="164" fontId="7" fillId="4" borderId="2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4" fontId="6" fillId="4" borderId="2" xfId="0" applyNumberFormat="1" applyFont="1" applyFill="1" applyBorder="1" applyAlignment="1">
      <alignment horizontal="center" vertical="center" wrapText="1"/>
    </xf>
    <xf numFmtId="0" fontId="15" fillId="6" borderId="0" xfId="0" applyFont="1" applyFill="1" applyAlignment="1">
      <alignment vertical="center"/>
    </xf>
    <xf numFmtId="0" fontId="10" fillId="6" borderId="8" xfId="0" applyFont="1" applyFill="1" applyBorder="1" applyAlignment="1">
      <alignment vertical="center"/>
    </xf>
    <xf numFmtId="0" fontId="10" fillId="6" borderId="0" xfId="0" applyFont="1" applyFill="1" applyAlignment="1">
      <alignment vertical="center"/>
    </xf>
    <xf numFmtId="0" fontId="10" fillId="6" borderId="10" xfId="0" applyFont="1" applyFill="1" applyBorder="1" applyAlignment="1">
      <alignment vertical="center"/>
    </xf>
    <xf numFmtId="0" fontId="15" fillId="6" borderId="10" xfId="0" applyFont="1" applyFill="1" applyBorder="1" applyAlignment="1">
      <alignment horizontal="left" vertical="center"/>
    </xf>
    <xf numFmtId="0" fontId="15" fillId="6" borderId="0" xfId="0" applyFont="1" applyFill="1" applyAlignment="1">
      <alignment horizontal="left" vertical="center"/>
    </xf>
    <xf numFmtId="0" fontId="13" fillId="6" borderId="0" xfId="0" applyFont="1" applyFill="1" applyAlignment="1">
      <alignment vertical="center"/>
    </xf>
    <xf numFmtId="0" fontId="19" fillId="6" borderId="6" xfId="0" applyFont="1" applyFill="1" applyBorder="1" applyAlignment="1">
      <alignment horizontal="left" vertical="center"/>
    </xf>
    <xf numFmtId="0" fontId="11" fillId="6" borderId="6" xfId="0" applyFont="1" applyFill="1" applyBorder="1" applyAlignment="1">
      <alignment horizontal="left" vertical="center"/>
    </xf>
    <xf numFmtId="0" fontId="12" fillId="6" borderId="15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1" fillId="6" borderId="15" xfId="0" quotePrefix="1" applyFont="1" applyFill="1" applyBorder="1" applyAlignment="1">
      <alignment horizontal="left" vertical="center" wrapText="1"/>
    </xf>
    <xf numFmtId="0" fontId="11" fillId="6" borderId="16" xfId="0" quotePrefix="1" applyFont="1" applyFill="1" applyBorder="1" applyAlignment="1">
      <alignment horizontal="left" vertical="center" wrapText="1"/>
    </xf>
    <xf numFmtId="0" fontId="11" fillId="6" borderId="17" xfId="0" quotePrefix="1" applyFont="1" applyFill="1" applyBorder="1" applyAlignment="1">
      <alignment horizontal="left" vertical="center" wrapText="1"/>
    </xf>
    <xf numFmtId="0" fontId="11" fillId="6" borderId="6" xfId="0" quotePrefix="1" applyFont="1" applyFill="1" applyBorder="1" applyAlignment="1">
      <alignment horizontal="left" vertical="center" wrapText="1"/>
    </xf>
    <xf numFmtId="0" fontId="13" fillId="9" borderId="6" xfId="0" applyFont="1" applyFill="1" applyBorder="1" applyAlignment="1">
      <alignment horizontal="center" vertical="center"/>
    </xf>
    <xf numFmtId="0" fontId="13" fillId="9" borderId="7" xfId="0" applyFont="1" applyFill="1" applyBorder="1" applyAlignment="1">
      <alignment horizontal="center" vertical="center"/>
    </xf>
    <xf numFmtId="0" fontId="13" fillId="9" borderId="8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/>
    </xf>
    <xf numFmtId="0" fontId="13" fillId="9" borderId="13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0" fontId="16" fillId="7" borderId="8" xfId="0" applyFont="1" applyFill="1" applyBorder="1" applyAlignment="1">
      <alignment horizontal="center" vertical="center"/>
    </xf>
    <xf numFmtId="0" fontId="16" fillId="7" borderId="9" xfId="0" applyFont="1" applyFill="1" applyBorder="1" applyAlignment="1">
      <alignment horizontal="center" vertical="center"/>
    </xf>
    <xf numFmtId="0" fontId="16" fillId="7" borderId="12" xfId="0" applyFont="1" applyFill="1" applyBorder="1" applyAlignment="1">
      <alignment horizontal="center" vertical="center"/>
    </xf>
    <xf numFmtId="0" fontId="16" fillId="7" borderId="13" xfId="0" applyFont="1" applyFill="1" applyBorder="1" applyAlignment="1">
      <alignment horizontal="center" vertical="center"/>
    </xf>
    <xf numFmtId="0" fontId="16" fillId="7" borderId="14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5" fillId="6" borderId="9" xfId="0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5" fillId="6" borderId="13" xfId="0" applyFont="1" applyFill="1" applyBorder="1" applyAlignment="1">
      <alignment horizontal="center" vertical="center"/>
    </xf>
    <xf numFmtId="0" fontId="15" fillId="6" borderId="14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3" fillId="9" borderId="6" xfId="0" quotePrefix="1" applyFont="1" applyFill="1" applyBorder="1" applyAlignment="1">
      <alignment horizontal="center" vertical="center"/>
    </xf>
    <xf numFmtId="0" fontId="10" fillId="8" borderId="15" xfId="0" applyFont="1" applyFill="1" applyBorder="1" applyAlignment="1">
      <alignment horizontal="center" vertical="center"/>
    </xf>
    <xf numFmtId="0" fontId="10" fillId="8" borderId="16" xfId="0" applyFont="1" applyFill="1" applyBorder="1" applyAlignment="1">
      <alignment horizontal="center" vertical="center"/>
    </xf>
    <xf numFmtId="0" fontId="10" fillId="8" borderId="17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15" fillId="7" borderId="16" xfId="0" applyFont="1" applyFill="1" applyBorder="1" applyAlignment="1">
      <alignment horizontal="left" vertical="center"/>
    </xf>
    <xf numFmtId="0" fontId="15" fillId="7" borderId="17" xfId="0" applyFont="1" applyFill="1" applyBorder="1" applyAlignment="1">
      <alignment horizontal="left" vertical="center"/>
    </xf>
    <xf numFmtId="165" fontId="15" fillId="6" borderId="7" xfId="0" applyNumberFormat="1" applyFont="1" applyFill="1" applyBorder="1" applyAlignment="1">
      <alignment horizontal="center" vertical="center"/>
    </xf>
    <xf numFmtId="165" fontId="15" fillId="6" borderId="8" xfId="0" applyNumberFormat="1" applyFont="1" applyFill="1" applyBorder="1" applyAlignment="1">
      <alignment horizontal="center" vertical="center"/>
    </xf>
    <xf numFmtId="165" fontId="15" fillId="6" borderId="9" xfId="0" applyNumberFormat="1" applyFont="1" applyFill="1" applyBorder="1" applyAlignment="1">
      <alignment horizontal="center" vertical="center"/>
    </xf>
    <xf numFmtId="165" fontId="15" fillId="6" borderId="10" xfId="0" applyNumberFormat="1" applyFont="1" applyFill="1" applyBorder="1" applyAlignment="1">
      <alignment horizontal="center" vertical="center"/>
    </xf>
    <xf numFmtId="165" fontId="15" fillId="6" borderId="0" xfId="0" applyNumberFormat="1" applyFont="1" applyFill="1" applyAlignment="1">
      <alignment horizontal="center" vertical="center"/>
    </xf>
    <xf numFmtId="165" fontId="15" fillId="6" borderId="11" xfId="0" applyNumberFormat="1" applyFont="1" applyFill="1" applyBorder="1" applyAlignment="1">
      <alignment horizontal="center" vertical="center"/>
    </xf>
    <xf numFmtId="165" fontId="15" fillId="6" borderId="12" xfId="0" applyNumberFormat="1" applyFont="1" applyFill="1" applyBorder="1" applyAlignment="1">
      <alignment horizontal="center" vertical="center"/>
    </xf>
    <xf numFmtId="165" fontId="15" fillId="6" borderId="13" xfId="0" applyNumberFormat="1" applyFont="1" applyFill="1" applyBorder="1" applyAlignment="1">
      <alignment horizontal="center" vertical="center"/>
    </xf>
    <xf numFmtId="165" fontId="15" fillId="6" borderId="14" xfId="0" applyNumberFormat="1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left" vertical="center" wrapText="1"/>
    </xf>
    <xf numFmtId="0" fontId="17" fillId="6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/>
    </xf>
    <xf numFmtId="0" fontId="17" fillId="6" borderId="6" xfId="0" quotePrefix="1" applyFont="1" applyFill="1" applyBorder="1" applyAlignment="1">
      <alignment horizontal="left" vertical="center" wrapText="1"/>
    </xf>
    <xf numFmtId="0" fontId="16" fillId="7" borderId="15" xfId="0" applyFont="1" applyFill="1" applyBorder="1" applyAlignment="1">
      <alignment horizontal="center" vertical="center"/>
    </xf>
    <xf numFmtId="0" fontId="16" fillId="7" borderId="16" xfId="0" applyFont="1" applyFill="1" applyBorder="1" applyAlignment="1">
      <alignment horizontal="center" vertical="center"/>
    </xf>
    <xf numFmtId="0" fontId="16" fillId="7" borderId="17" xfId="0" applyFont="1" applyFill="1" applyBorder="1" applyAlignment="1">
      <alignment horizontal="center" vertical="center"/>
    </xf>
    <xf numFmtId="0" fontId="14" fillId="9" borderId="7" xfId="0" applyFont="1" applyFill="1" applyBorder="1" applyAlignment="1">
      <alignment horizontal="center" vertical="center"/>
    </xf>
    <xf numFmtId="0" fontId="14" fillId="9" borderId="8" xfId="0" applyFont="1" applyFill="1" applyBorder="1" applyAlignment="1">
      <alignment horizontal="center" vertical="center"/>
    </xf>
    <xf numFmtId="0" fontId="14" fillId="9" borderId="10" xfId="0" applyFont="1" applyFill="1" applyBorder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4" fillId="9" borderId="12" xfId="0" applyFont="1" applyFill="1" applyBorder="1" applyAlignment="1">
      <alignment horizontal="center" vertical="center"/>
    </xf>
    <xf numFmtId="0" fontId="14" fillId="9" borderId="13" xfId="0" applyFont="1" applyFill="1" applyBorder="1" applyAlignment="1">
      <alignment horizontal="center" vertical="center"/>
    </xf>
    <xf numFmtId="0" fontId="16" fillId="6" borderId="15" xfId="0" applyFont="1" applyFill="1" applyBorder="1" applyAlignment="1">
      <alignment horizontal="center" vertical="center"/>
    </xf>
    <xf numFmtId="0" fontId="16" fillId="6" borderId="16" xfId="0" applyFont="1" applyFill="1" applyBorder="1" applyAlignment="1">
      <alignment horizontal="center" vertical="center"/>
    </xf>
    <xf numFmtId="0" fontId="16" fillId="6" borderId="17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10" fillId="6" borderId="0" xfId="0" quotePrefix="1" applyFont="1" applyFill="1" applyAlignment="1">
      <alignment vertical="center"/>
    </xf>
  </cellXfs>
  <cellStyles count="1">
    <cellStyle name="Normal" xfId="0" builtinId="0"/>
  </cellStyles>
  <dxfs count="7">
    <dxf>
      <font>
        <color rgb="FFD4F4D4"/>
      </font>
    </dxf>
    <dxf>
      <font>
        <b/>
        <i val="0"/>
      </font>
    </dxf>
    <dxf>
      <font>
        <b/>
        <i val="0"/>
      </font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D4F4D4"/>
      <color rgb="FFB2ECB2"/>
      <color rgb="FFFFFFFF"/>
      <color rgb="FFFFCC99"/>
      <color rgb="FFCCE6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microsoft.com/office/2011/relationships/webextension" Target="../webextensions/webextens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545747</xdr:colOff>
      <xdr:row>12</xdr:row>
      <xdr:rowOff>8465</xdr:rowOff>
    </xdr:from>
    <xdr:to>
      <xdr:col>10</xdr:col>
      <xdr:colOff>511880</xdr:colOff>
      <xdr:row>23</xdr:row>
      <xdr:rowOff>130879</xdr:rowOff>
    </xdr:to>
    <xdr:pic>
      <xdr:nvPicPr>
        <xdr:cNvPr id="3" name="Picture 62">
          <a:extLst>
            <a:ext uri="{FF2B5EF4-FFF2-40B4-BE49-F238E27FC236}">
              <a16:creationId xmlns:a16="http://schemas.microsoft.com/office/drawing/2014/main" id="{78E13D8D-D2E7-4B1E-BAB4-0CB0A570B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47" y="2421465"/>
          <a:ext cx="7132108" cy="36085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97367</xdr:colOff>
      <xdr:row>11</xdr:row>
      <xdr:rowOff>292100</xdr:rowOff>
    </xdr:from>
    <xdr:to>
      <xdr:col>22</xdr:col>
      <xdr:colOff>131233</xdr:colOff>
      <xdr:row>23</xdr:row>
      <xdr:rowOff>109714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474A03-585F-4BA9-8A41-42ABD6E4C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5517" y="2387600"/>
          <a:ext cx="6491816" cy="36180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67732</xdr:colOff>
      <xdr:row>5</xdr:row>
      <xdr:rowOff>47624</xdr:rowOff>
    </xdr:from>
    <xdr:to>
      <xdr:col>23</xdr:col>
      <xdr:colOff>428625</xdr:colOff>
      <xdr:row>9</xdr:row>
      <xdr:rowOff>409575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Suplemento 1">
              <a:extLst>
                <a:ext uri="{FF2B5EF4-FFF2-40B4-BE49-F238E27FC236}">
                  <a16:creationId xmlns:a16="http://schemas.microsoft.com/office/drawing/2014/main" id="{17C704FE-A339-40E5-B027-B38D2B73FCD6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Suplemento 1">
              <a:extLst>
                <a:ext uri="{FF2B5EF4-FFF2-40B4-BE49-F238E27FC236}">
                  <a16:creationId xmlns:a16="http://schemas.microsoft.com/office/drawing/2014/main" id="{17C704FE-A339-40E5-B027-B38D2B73FCD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webextensions/webextension1.xml><?xml version="1.0" encoding="utf-8"?>
<we:webextension xmlns:we="http://schemas.microsoft.com/office/webextensions/webextension/2010/11" id="{17C704FE-A339-40E5-B027-B38D2B73FCD6}">
  <we:reference id="wa102957665" version="1.3.0.0" store="pt-BR" storeType="OMEX"/>
  <we:alternateReferences>
    <we:reference id="WA102957665" version="1.3.0.0" store="WA102957665" storeType="OMEX"/>
  </we:alternateReferences>
  <we:properties>
    <we:property name="opt_cal_sys" value="1"/>
    <we:property name="opt_confirm" value="true"/>
    <we:property name="opt_month" value="&quot;2025-04-01&quot;"/>
    <we:property name="opt_size" value="0"/>
    <we:property name="opt_theme" value="5"/>
    <we:property name="opt_wn" value="false"/>
  </we:properties>
  <we:bindings/>
  <we:snapshot xmlns:r="http://schemas.openxmlformats.org/officeDocument/2006/relationships" r:embed="rId1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B8A3A-D49B-43DF-822C-47896E3E43E9}">
  <sheetPr codeName="Sheet3">
    <tabColor rgb="FFFFC000"/>
  </sheetPr>
  <dimension ref="A1:W68"/>
  <sheetViews>
    <sheetView tabSelected="1" topLeftCell="A33" zoomScaleNormal="100" workbookViewId="0">
      <selection activeCell="N38" sqref="N38"/>
    </sheetView>
  </sheetViews>
  <sheetFormatPr defaultColWidth="0" defaultRowHeight="15" customHeight="1" x14ac:dyDescent="0.25"/>
  <cols>
    <col min="1" max="1" width="10.7109375" style="15" customWidth="1"/>
    <col min="2" max="23" width="10.7109375" style="14" customWidth="1"/>
    <col min="24" max="256" width="0" style="14" hidden="1"/>
    <col min="257" max="279" width="8.85546875" style="14" customWidth="1"/>
    <col min="280" max="512" width="0" style="14" hidden="1"/>
    <col min="513" max="535" width="8.85546875" style="14" customWidth="1"/>
    <col min="536" max="768" width="0" style="14" hidden="1"/>
    <col min="769" max="791" width="8.85546875" style="14" customWidth="1"/>
    <col min="792" max="1024" width="0" style="14" hidden="1"/>
    <col min="1025" max="1047" width="8.85546875" style="14" customWidth="1"/>
    <col min="1048" max="1280" width="0" style="14" hidden="1"/>
    <col min="1281" max="1303" width="8.85546875" style="14" customWidth="1"/>
    <col min="1304" max="1536" width="0" style="14" hidden="1"/>
    <col min="1537" max="1559" width="8.85546875" style="14" customWidth="1"/>
    <col min="1560" max="1792" width="0" style="14" hidden="1"/>
    <col min="1793" max="1815" width="8.85546875" style="14" customWidth="1"/>
    <col min="1816" max="2048" width="0" style="14" hidden="1"/>
    <col min="2049" max="2071" width="8.85546875" style="14" customWidth="1"/>
    <col min="2072" max="2304" width="0" style="14" hidden="1"/>
    <col min="2305" max="2327" width="8.85546875" style="14" customWidth="1"/>
    <col min="2328" max="2560" width="0" style="14" hidden="1"/>
    <col min="2561" max="2583" width="8.85546875" style="14" customWidth="1"/>
    <col min="2584" max="2816" width="0" style="14" hidden="1"/>
    <col min="2817" max="2839" width="8.85546875" style="14" customWidth="1"/>
    <col min="2840" max="3072" width="0" style="14" hidden="1"/>
    <col min="3073" max="3095" width="8.85546875" style="14" customWidth="1"/>
    <col min="3096" max="3328" width="0" style="14" hidden="1"/>
    <col min="3329" max="3351" width="8.85546875" style="14" customWidth="1"/>
    <col min="3352" max="3584" width="0" style="14" hidden="1"/>
    <col min="3585" max="3607" width="8.85546875" style="14" customWidth="1"/>
    <col min="3608" max="3840" width="0" style="14" hidden="1"/>
    <col min="3841" max="3863" width="8.85546875" style="14" customWidth="1"/>
    <col min="3864" max="4096" width="0" style="14" hidden="1"/>
    <col min="4097" max="4119" width="8.85546875" style="14" customWidth="1"/>
    <col min="4120" max="4352" width="0" style="14" hidden="1"/>
    <col min="4353" max="4375" width="8.85546875" style="14" customWidth="1"/>
    <col min="4376" max="4608" width="0" style="14" hidden="1"/>
    <col min="4609" max="4631" width="8.85546875" style="14" customWidth="1"/>
    <col min="4632" max="4864" width="0" style="14" hidden="1"/>
    <col min="4865" max="4887" width="8.85546875" style="14" customWidth="1"/>
    <col min="4888" max="5120" width="0" style="14" hidden="1"/>
    <col min="5121" max="5143" width="8.85546875" style="14" customWidth="1"/>
    <col min="5144" max="5376" width="0" style="14" hidden="1"/>
    <col min="5377" max="5399" width="8.85546875" style="14" customWidth="1"/>
    <col min="5400" max="5632" width="0" style="14" hidden="1"/>
    <col min="5633" max="5655" width="8.85546875" style="14" customWidth="1"/>
    <col min="5656" max="5888" width="0" style="14" hidden="1"/>
    <col min="5889" max="5911" width="8.85546875" style="14" customWidth="1"/>
    <col min="5912" max="6144" width="0" style="14" hidden="1"/>
    <col min="6145" max="6167" width="8.85546875" style="14" customWidth="1"/>
    <col min="6168" max="6400" width="0" style="14" hidden="1"/>
    <col min="6401" max="6423" width="8.85546875" style="14" customWidth="1"/>
    <col min="6424" max="6656" width="0" style="14" hidden="1"/>
    <col min="6657" max="6679" width="8.85546875" style="14" customWidth="1"/>
    <col min="6680" max="6912" width="0" style="14" hidden="1"/>
    <col min="6913" max="6935" width="8.85546875" style="14" customWidth="1"/>
    <col min="6936" max="7168" width="0" style="14" hidden="1"/>
    <col min="7169" max="7191" width="8.85546875" style="14" customWidth="1"/>
    <col min="7192" max="7424" width="0" style="14" hidden="1"/>
    <col min="7425" max="7447" width="8.85546875" style="14" customWidth="1"/>
    <col min="7448" max="7680" width="0" style="14" hidden="1"/>
    <col min="7681" max="7703" width="8.85546875" style="14" customWidth="1"/>
    <col min="7704" max="7936" width="0" style="14" hidden="1"/>
    <col min="7937" max="7959" width="8.85546875" style="14" customWidth="1"/>
    <col min="7960" max="8192" width="0" style="14" hidden="1"/>
    <col min="8193" max="8215" width="8.85546875" style="14" customWidth="1"/>
    <col min="8216" max="8448" width="0" style="14" hidden="1"/>
    <col min="8449" max="8471" width="8.85546875" style="14" customWidth="1"/>
    <col min="8472" max="8704" width="0" style="14" hidden="1"/>
    <col min="8705" max="8727" width="8.85546875" style="14" customWidth="1"/>
    <col min="8728" max="8960" width="0" style="14" hidden="1"/>
    <col min="8961" max="8983" width="8.85546875" style="14" customWidth="1"/>
    <col min="8984" max="9216" width="0" style="14" hidden="1"/>
    <col min="9217" max="9239" width="8.85546875" style="14" customWidth="1"/>
    <col min="9240" max="9472" width="0" style="14" hidden="1"/>
    <col min="9473" max="9495" width="8.85546875" style="14" customWidth="1"/>
    <col min="9496" max="9728" width="0" style="14" hidden="1"/>
    <col min="9729" max="9751" width="8.85546875" style="14" customWidth="1"/>
    <col min="9752" max="9984" width="0" style="14" hidden="1"/>
    <col min="9985" max="10007" width="8.85546875" style="14" customWidth="1"/>
    <col min="10008" max="10240" width="0" style="14" hidden="1"/>
    <col min="10241" max="10263" width="8.85546875" style="14" customWidth="1"/>
    <col min="10264" max="10496" width="0" style="14" hidden="1"/>
    <col min="10497" max="10519" width="8.85546875" style="14" customWidth="1"/>
    <col min="10520" max="10752" width="0" style="14" hidden="1"/>
    <col min="10753" max="10775" width="8.85546875" style="14" customWidth="1"/>
    <col min="10776" max="11008" width="0" style="14" hidden="1"/>
    <col min="11009" max="11031" width="8.85546875" style="14" customWidth="1"/>
    <col min="11032" max="11264" width="0" style="14" hidden="1"/>
    <col min="11265" max="11287" width="8.85546875" style="14" customWidth="1"/>
    <col min="11288" max="11520" width="0" style="14" hidden="1"/>
    <col min="11521" max="11543" width="8.85546875" style="14" customWidth="1"/>
    <col min="11544" max="11776" width="0" style="14" hidden="1"/>
    <col min="11777" max="11799" width="8.85546875" style="14" customWidth="1"/>
    <col min="11800" max="12032" width="0" style="14" hidden="1"/>
    <col min="12033" max="12055" width="8.85546875" style="14" customWidth="1"/>
    <col min="12056" max="12288" width="0" style="14" hidden="1"/>
    <col min="12289" max="12311" width="8.85546875" style="14" customWidth="1"/>
    <col min="12312" max="12544" width="0" style="14" hidden="1"/>
    <col min="12545" max="12567" width="8.85546875" style="14" customWidth="1"/>
    <col min="12568" max="12800" width="0" style="14" hidden="1"/>
    <col min="12801" max="12823" width="8.85546875" style="14" customWidth="1"/>
    <col min="12824" max="13056" width="0" style="14" hidden="1"/>
    <col min="13057" max="13079" width="8.85546875" style="14" customWidth="1"/>
    <col min="13080" max="13312" width="0" style="14" hidden="1"/>
    <col min="13313" max="13335" width="8.85546875" style="14" customWidth="1"/>
    <col min="13336" max="13568" width="0" style="14" hidden="1"/>
    <col min="13569" max="13591" width="8.85546875" style="14" customWidth="1"/>
    <col min="13592" max="13824" width="0" style="14" hidden="1"/>
    <col min="13825" max="13847" width="8.85546875" style="14" customWidth="1"/>
    <col min="13848" max="14080" width="0" style="14" hidden="1"/>
    <col min="14081" max="14103" width="8.85546875" style="14" customWidth="1"/>
    <col min="14104" max="14336" width="0" style="14" hidden="1"/>
    <col min="14337" max="14359" width="8.85546875" style="14" customWidth="1"/>
    <col min="14360" max="14592" width="0" style="14" hidden="1"/>
    <col min="14593" max="14615" width="8.85546875" style="14" customWidth="1"/>
    <col min="14616" max="14848" width="0" style="14" hidden="1"/>
    <col min="14849" max="14871" width="8.85546875" style="14" customWidth="1"/>
    <col min="14872" max="15104" width="0" style="14" hidden="1"/>
    <col min="15105" max="15127" width="8.85546875" style="14" customWidth="1"/>
    <col min="15128" max="15360" width="0" style="14" hidden="1"/>
    <col min="15361" max="15383" width="8.85546875" style="14" customWidth="1"/>
    <col min="15384" max="15616" width="0" style="14" hidden="1"/>
    <col min="15617" max="15639" width="8.85546875" style="14" customWidth="1"/>
    <col min="15640" max="15872" width="0" style="14" hidden="1"/>
    <col min="15873" max="15895" width="8.85546875" style="14" customWidth="1"/>
    <col min="15896" max="16128" width="0" style="14" hidden="1"/>
    <col min="16129" max="16151" width="8.85546875" style="14" customWidth="1"/>
    <col min="16152" max="16384" width="0" style="14" hidden="1"/>
  </cols>
  <sheetData>
    <row r="1" spans="1:23" s="13" customFormat="1" ht="15" customHeight="1" x14ac:dyDescent="0.25">
      <c r="A1" s="74" t="s">
        <v>80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83"/>
      <c r="T1" s="83"/>
      <c r="U1" s="83"/>
      <c r="V1" s="83"/>
      <c r="W1" s="84"/>
    </row>
    <row r="2" spans="1:23" ht="15" customHeight="1" x14ac:dyDescent="0.25">
      <c r="A2" s="76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85"/>
      <c r="T2" s="85"/>
      <c r="U2" s="85"/>
      <c r="V2" s="85"/>
      <c r="W2" s="86"/>
    </row>
    <row r="3" spans="1:23" ht="15" customHeight="1" x14ac:dyDescent="0.25">
      <c r="A3" s="76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85"/>
      <c r="T3" s="85"/>
      <c r="U3" s="85"/>
      <c r="V3" s="85"/>
      <c r="W3" s="86"/>
    </row>
    <row r="4" spans="1:23" ht="15" customHeight="1" x14ac:dyDescent="0.25">
      <c r="A4" s="76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85"/>
      <c r="T4" s="85"/>
      <c r="U4" s="85"/>
      <c r="V4" s="85"/>
      <c r="W4" s="86"/>
    </row>
    <row r="5" spans="1:23" ht="15" customHeight="1" x14ac:dyDescent="0.25">
      <c r="A5" s="76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85"/>
      <c r="T5" s="85"/>
      <c r="U5" s="85"/>
      <c r="V5" s="85"/>
      <c r="W5" s="86"/>
    </row>
    <row r="6" spans="1:23" ht="15" customHeight="1" x14ac:dyDescent="0.25">
      <c r="A6" s="78"/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87"/>
      <c r="T6" s="87"/>
      <c r="U6" s="87"/>
      <c r="V6" s="87"/>
      <c r="W6" s="88"/>
    </row>
    <row r="8" spans="1:23" ht="15" customHeight="1" x14ac:dyDescent="0.25">
      <c r="A8" s="29" t="s">
        <v>39</v>
      </c>
      <c r="B8" s="30"/>
      <c r="C8" s="31"/>
      <c r="D8" s="36" t="s">
        <v>40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8"/>
    </row>
    <row r="9" spans="1:23" ht="15" customHeight="1" x14ac:dyDescent="0.25">
      <c r="A9" s="32"/>
      <c r="B9" s="33"/>
      <c r="C9" s="34"/>
      <c r="D9" s="39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1"/>
    </row>
    <row r="10" spans="1:23" ht="15" customHeight="1" x14ac:dyDescent="0.25">
      <c r="A10" s="14"/>
    </row>
    <row r="11" spans="1:23" ht="15" customHeight="1" x14ac:dyDescent="0.25">
      <c r="A11" s="80" t="s">
        <v>41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2"/>
      <c r="M11" s="80" t="s">
        <v>42</v>
      </c>
      <c r="N11" s="81"/>
      <c r="O11" s="81"/>
      <c r="P11" s="81"/>
      <c r="Q11" s="81"/>
      <c r="R11" s="81"/>
      <c r="S11" s="81"/>
      <c r="T11" s="81"/>
      <c r="U11" s="81"/>
      <c r="V11" s="81"/>
      <c r="W11" s="82"/>
    </row>
    <row r="12" spans="1:23" ht="24.95" customHeight="1" x14ac:dyDescent="0.25"/>
    <row r="13" spans="1:23" ht="24.95" customHeight="1" x14ac:dyDescent="0.25"/>
    <row r="14" spans="1:23" ht="24.95" customHeight="1" x14ac:dyDescent="0.25"/>
    <row r="15" spans="1:23" ht="24.95" customHeight="1" x14ac:dyDescent="0.25"/>
    <row r="16" spans="1:23" ht="24.95" customHeight="1" x14ac:dyDescent="0.25"/>
    <row r="17" spans="1:23" ht="24.95" customHeight="1" x14ac:dyDescent="0.25"/>
    <row r="18" spans="1:23" ht="24.95" customHeight="1" x14ac:dyDescent="0.25"/>
    <row r="19" spans="1:23" ht="24.95" customHeight="1" x14ac:dyDescent="0.25"/>
    <row r="20" spans="1:23" ht="24.95" customHeight="1" x14ac:dyDescent="0.25"/>
    <row r="21" spans="1:23" ht="24.95" customHeight="1" x14ac:dyDescent="0.25"/>
    <row r="22" spans="1:23" ht="24.95" customHeight="1" x14ac:dyDescent="0.25"/>
    <row r="23" spans="1:23" ht="24.95" customHeight="1" x14ac:dyDescent="0.25"/>
    <row r="24" spans="1:23" ht="24.95" customHeight="1" x14ac:dyDescent="0.25"/>
    <row r="25" spans="1:23" ht="24.95" customHeight="1" x14ac:dyDescent="0.25"/>
    <row r="26" spans="1:23" ht="15" customHeight="1" x14ac:dyDescent="0.25">
      <c r="A26" s="71" t="s">
        <v>43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3"/>
      <c r="R26" s="21" t="s">
        <v>48</v>
      </c>
      <c r="S26" s="22"/>
      <c r="T26" s="22"/>
      <c r="U26" s="22"/>
      <c r="V26" s="22"/>
      <c r="W26" s="23"/>
    </row>
    <row r="27" spans="1:23" ht="15" customHeight="1" x14ac:dyDescent="0.25">
      <c r="R27" s="19" t="s">
        <v>65</v>
      </c>
      <c r="S27" s="20"/>
      <c r="T27" s="20"/>
      <c r="U27" s="20"/>
      <c r="V27" s="20"/>
      <c r="W27" s="20"/>
    </row>
    <row r="28" spans="1:23" ht="15" customHeight="1" x14ac:dyDescent="0.25">
      <c r="A28" s="68" t="s">
        <v>44</v>
      </c>
      <c r="B28" s="68"/>
      <c r="C28" s="68"/>
      <c r="D28" s="68" t="s">
        <v>45</v>
      </c>
      <c r="E28" s="68"/>
      <c r="F28" s="68"/>
      <c r="G28" s="68" t="s">
        <v>46</v>
      </c>
      <c r="H28" s="68"/>
      <c r="I28" s="68"/>
      <c r="K28" s="69" t="s">
        <v>47</v>
      </c>
      <c r="L28" s="69"/>
      <c r="M28" s="69"/>
      <c r="N28" s="69"/>
      <c r="O28" s="69"/>
      <c r="P28" s="69"/>
      <c r="R28" s="67" t="s">
        <v>66</v>
      </c>
      <c r="S28" s="67"/>
      <c r="T28" s="67"/>
      <c r="U28" s="67"/>
      <c r="V28" s="67"/>
      <c r="W28" s="67"/>
    </row>
    <row r="29" spans="1:23" ht="15" customHeight="1" x14ac:dyDescent="0.25">
      <c r="A29" s="68"/>
      <c r="B29" s="68"/>
      <c r="C29" s="68"/>
      <c r="D29" s="68"/>
      <c r="E29" s="68"/>
      <c r="F29" s="68"/>
      <c r="G29" s="68"/>
      <c r="H29" s="68"/>
      <c r="I29" s="68"/>
      <c r="K29" s="70" t="s">
        <v>49</v>
      </c>
      <c r="L29" s="70"/>
      <c r="M29" s="70"/>
      <c r="N29" s="70"/>
      <c r="O29" s="70"/>
      <c r="P29" s="70"/>
      <c r="R29" s="67"/>
      <c r="S29" s="67"/>
      <c r="T29" s="67"/>
      <c r="U29" s="67"/>
      <c r="V29" s="67"/>
      <c r="W29" s="67"/>
    </row>
    <row r="30" spans="1:23" ht="15" customHeight="1" x14ac:dyDescent="0.25">
      <c r="A30" s="28" t="s">
        <v>50</v>
      </c>
      <c r="B30" s="28"/>
      <c r="C30" s="28"/>
      <c r="D30" s="28" t="s">
        <v>51</v>
      </c>
      <c r="E30" s="28"/>
      <c r="F30" s="28"/>
      <c r="G30" s="28" t="s">
        <v>51</v>
      </c>
      <c r="H30" s="28"/>
      <c r="I30" s="28"/>
      <c r="K30" s="70"/>
      <c r="L30" s="70"/>
      <c r="M30" s="70"/>
      <c r="N30" s="70"/>
      <c r="O30" s="70"/>
      <c r="P30" s="70"/>
      <c r="R30" s="67" t="s">
        <v>67</v>
      </c>
      <c r="S30" s="67"/>
      <c r="T30" s="67"/>
      <c r="U30" s="67"/>
      <c r="V30" s="67"/>
      <c r="W30" s="67"/>
    </row>
    <row r="31" spans="1:23" ht="15" customHeight="1" x14ac:dyDescent="0.25">
      <c r="A31" s="28"/>
      <c r="B31" s="28"/>
      <c r="C31" s="28"/>
      <c r="D31" s="28"/>
      <c r="E31" s="28"/>
      <c r="F31" s="28"/>
      <c r="G31" s="28"/>
      <c r="H31" s="28"/>
      <c r="I31" s="28"/>
      <c r="K31" s="70"/>
      <c r="L31" s="70"/>
      <c r="M31" s="70"/>
      <c r="N31" s="70"/>
      <c r="O31" s="70"/>
      <c r="P31" s="70"/>
      <c r="R31" s="24" t="s">
        <v>68</v>
      </c>
      <c r="S31" s="25"/>
      <c r="T31" s="25"/>
      <c r="U31" s="25"/>
      <c r="V31" s="25"/>
      <c r="W31" s="26"/>
    </row>
    <row r="32" spans="1:23" ht="15" customHeight="1" x14ac:dyDescent="0.25">
      <c r="A32" s="35">
        <v>-20</v>
      </c>
      <c r="B32" s="35"/>
      <c r="C32" s="35"/>
      <c r="D32" s="35">
        <v>1</v>
      </c>
      <c r="E32" s="35"/>
      <c r="F32" s="35"/>
      <c r="G32" s="35">
        <v>0.8</v>
      </c>
      <c r="H32" s="35"/>
      <c r="I32" s="35"/>
      <c r="K32" s="70"/>
      <c r="L32" s="70"/>
      <c r="M32" s="70"/>
      <c r="N32" s="70"/>
      <c r="O32" s="70"/>
      <c r="P32" s="70"/>
      <c r="R32" s="27" t="s">
        <v>69</v>
      </c>
      <c r="S32" s="27"/>
      <c r="T32" s="27"/>
      <c r="U32" s="27"/>
      <c r="V32" s="27"/>
      <c r="W32" s="27"/>
    </row>
    <row r="33" spans="1:23" ht="15" customHeight="1" x14ac:dyDescent="0.25">
      <c r="K33" s="70"/>
      <c r="L33" s="70"/>
      <c r="M33" s="70"/>
      <c r="N33" s="70"/>
      <c r="O33" s="70"/>
      <c r="P33" s="70"/>
      <c r="R33" s="27" t="s">
        <v>70</v>
      </c>
      <c r="S33" s="27"/>
      <c r="T33" s="27"/>
      <c r="U33" s="27"/>
      <c r="V33" s="27"/>
      <c r="W33" s="27"/>
    </row>
    <row r="34" spans="1:23" ht="15" customHeight="1" x14ac:dyDescent="0.25">
      <c r="R34" s="27" t="s">
        <v>71</v>
      </c>
      <c r="S34" s="27"/>
      <c r="T34" s="27"/>
      <c r="U34" s="27"/>
      <c r="V34" s="27"/>
      <c r="W34" s="27"/>
    </row>
    <row r="35" spans="1:23" ht="15" customHeight="1" x14ac:dyDescent="0.25">
      <c r="A35" s="29" t="s">
        <v>52</v>
      </c>
      <c r="B35" s="30"/>
      <c r="C35" s="31"/>
      <c r="D35" s="29" t="s">
        <v>53</v>
      </c>
      <c r="E35" s="30"/>
      <c r="F35" s="31"/>
      <c r="G35" s="29" t="s">
        <v>54</v>
      </c>
      <c r="H35" s="30"/>
      <c r="I35" s="31"/>
      <c r="J35" s="29" t="s">
        <v>55</v>
      </c>
      <c r="K35" s="30"/>
      <c r="L35" s="31"/>
      <c r="R35" s="27"/>
      <c r="S35" s="27"/>
      <c r="T35" s="27"/>
      <c r="U35" s="27"/>
      <c r="V35" s="27"/>
      <c r="W35" s="27"/>
    </row>
    <row r="36" spans="1:23" ht="15" customHeight="1" x14ac:dyDescent="0.25">
      <c r="A36" s="32"/>
      <c r="B36" s="33"/>
      <c r="C36" s="34"/>
      <c r="D36" s="32"/>
      <c r="E36" s="33"/>
      <c r="F36" s="34"/>
      <c r="G36" s="32"/>
      <c r="H36" s="33"/>
      <c r="I36" s="34"/>
      <c r="J36" s="32"/>
      <c r="K36" s="33"/>
      <c r="L36" s="34"/>
      <c r="N36" s="94" t="s">
        <v>81</v>
      </c>
      <c r="R36" s="24" t="s">
        <v>72</v>
      </c>
      <c r="S36" s="25"/>
      <c r="T36" s="25"/>
      <c r="U36" s="25"/>
      <c r="V36" s="25"/>
      <c r="W36" s="26"/>
    </row>
    <row r="37" spans="1:23" ht="15" customHeight="1" x14ac:dyDescent="0.25">
      <c r="A37" s="58">
        <f>((A32*10/100)/100)+D32</f>
        <v>0.98</v>
      </c>
      <c r="B37" s="59"/>
      <c r="C37" s="60"/>
      <c r="D37" s="58">
        <f>((A32*90/100)/100)+D32</f>
        <v>0.82000000000000006</v>
      </c>
      <c r="E37" s="59"/>
      <c r="F37" s="60"/>
      <c r="G37" s="58">
        <f>G32+((A32/100)*0.05)</f>
        <v>0.79</v>
      </c>
      <c r="H37" s="59"/>
      <c r="I37" s="60"/>
      <c r="J37" s="58">
        <f>G32-((A32/100)*0.05)</f>
        <v>0.81</v>
      </c>
      <c r="K37" s="59"/>
      <c r="L37" s="60"/>
      <c r="R37" s="24" t="s">
        <v>73</v>
      </c>
      <c r="S37" s="25"/>
      <c r="T37" s="25"/>
      <c r="U37" s="25"/>
      <c r="V37" s="25"/>
      <c r="W37" s="26"/>
    </row>
    <row r="38" spans="1:23" ht="15" customHeight="1" x14ac:dyDescent="0.25">
      <c r="A38" s="61"/>
      <c r="B38" s="62"/>
      <c r="C38" s="63"/>
      <c r="D38" s="61"/>
      <c r="E38" s="62"/>
      <c r="F38" s="63"/>
      <c r="G38" s="61"/>
      <c r="H38" s="62"/>
      <c r="I38" s="63"/>
      <c r="J38" s="61"/>
      <c r="K38" s="62"/>
      <c r="L38" s="63"/>
      <c r="N38" s="94" t="s">
        <v>82</v>
      </c>
      <c r="R38" s="27" t="s">
        <v>74</v>
      </c>
      <c r="S38" s="27"/>
      <c r="T38" s="27"/>
      <c r="U38" s="27"/>
      <c r="V38" s="27"/>
      <c r="W38" s="27"/>
    </row>
    <row r="39" spans="1:23" ht="15" customHeight="1" x14ac:dyDescent="0.25">
      <c r="A39" s="64"/>
      <c r="B39" s="65"/>
      <c r="C39" s="66"/>
      <c r="D39" s="64"/>
      <c r="E39" s="65"/>
      <c r="F39" s="66"/>
      <c r="G39" s="64"/>
      <c r="H39" s="65"/>
      <c r="I39" s="66"/>
      <c r="J39" s="64"/>
      <c r="K39" s="65"/>
      <c r="L39" s="66"/>
      <c r="R39" s="27"/>
      <c r="S39" s="27"/>
      <c r="T39" s="27"/>
      <c r="U39" s="27"/>
      <c r="V39" s="27"/>
      <c r="W39" s="27"/>
    </row>
    <row r="41" spans="1:23" ht="15" customHeight="1" x14ac:dyDescent="0.25">
      <c r="A41" s="55" t="s">
        <v>56</v>
      </c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7"/>
    </row>
    <row r="42" spans="1:23" ht="15" customHeight="1" x14ac:dyDescent="0.25">
      <c r="A42" s="16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</row>
    <row r="43" spans="1:23" ht="15" customHeight="1" x14ac:dyDescent="0.25">
      <c r="A43" s="55" t="str">
        <f>"Variável t10: posicionar a régua até atingir o valor de " &amp; A37 &amp; " antes da ocorrência do overshoot, t10 será o instante correspondente a este valor."</f>
        <v>Variável t10: posicionar a régua até atingir o valor de 0,98 antes da ocorrência do overshoot, t10 será o instante correspondente a este valor.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7"/>
    </row>
    <row r="44" spans="1:23" ht="15" customHeight="1" x14ac:dyDescent="0.25">
      <c r="A44" s="16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</row>
    <row r="45" spans="1:23" ht="15" customHeight="1" x14ac:dyDescent="0.25">
      <c r="A45" s="55" t="str">
        <f>"Variável t90: posicionar a régua até atingir o valor de " &amp; D37 &amp; " antes da ocorrência do overshoot, t90 será o instante correspondente a este valor."</f>
        <v>Variável t90: posicionar a régua até atingir o valor de 0,82 antes da ocorrência do overshoot, t90 será o instante correspondente a este valor.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7"/>
    </row>
    <row r="46" spans="1:23" ht="15" customHeight="1" x14ac:dyDescent="0.25">
      <c r="A46" s="16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 spans="1:23" ht="15" customHeight="1" x14ac:dyDescent="0.25">
      <c r="A47" s="55" t="str">
        <f>"Variável tf: posicionar a régua até que o sinal de tensão adentre na faixa de " &amp; G37 &amp; " e " &amp;J37&amp; " após ocorrência do overshoot, tf será o instante correspondente a este valor."</f>
        <v>Variável tf: posicionar a régua até que o sinal de tensão adentre na faixa de 0,79 e 0,81 após ocorrência do overshoot, tf será o instante correspondente a este valor.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7"/>
    </row>
    <row r="50" spans="1:23" ht="15" customHeight="1" x14ac:dyDescent="0.25">
      <c r="A50" s="29" t="s">
        <v>57</v>
      </c>
      <c r="B50" s="30"/>
      <c r="C50" s="31"/>
      <c r="D50" s="36" t="s">
        <v>58</v>
      </c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8"/>
    </row>
    <row r="51" spans="1:23" ht="15" customHeight="1" x14ac:dyDescent="0.25">
      <c r="A51" s="32"/>
      <c r="B51" s="33"/>
      <c r="C51" s="34"/>
      <c r="D51" s="39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1"/>
    </row>
    <row r="53" spans="1:23" ht="15" customHeight="1" x14ac:dyDescent="0.25">
      <c r="B53" s="28" t="s">
        <v>63</v>
      </c>
      <c r="C53" s="28"/>
      <c r="D53" s="28"/>
      <c r="E53" s="12"/>
      <c r="F53" s="12"/>
      <c r="G53" s="12"/>
      <c r="H53" s="28" t="s">
        <v>50</v>
      </c>
      <c r="I53" s="28"/>
      <c r="J53" s="28"/>
      <c r="K53" s="12"/>
      <c r="L53" s="18"/>
      <c r="M53" s="18"/>
      <c r="N53" s="51" t="s">
        <v>64</v>
      </c>
      <c r="O53" s="51"/>
      <c r="P53" s="51"/>
      <c r="Q53" s="12"/>
      <c r="R53" s="12"/>
      <c r="S53" s="12"/>
      <c r="T53" s="51" t="s">
        <v>76</v>
      </c>
      <c r="U53" s="51"/>
      <c r="V53" s="51"/>
    </row>
    <row r="54" spans="1:23" ht="15" customHeight="1" x14ac:dyDescent="0.25">
      <c r="B54" s="28"/>
      <c r="C54" s="28"/>
      <c r="D54" s="28"/>
      <c r="E54" s="12"/>
      <c r="F54" s="12"/>
      <c r="G54" s="12"/>
      <c r="H54" s="28"/>
      <c r="I54" s="28"/>
      <c r="J54" s="28"/>
      <c r="K54" s="12"/>
      <c r="L54" s="18"/>
      <c r="M54" s="18"/>
      <c r="N54" s="51"/>
      <c r="O54" s="51"/>
      <c r="P54" s="51"/>
      <c r="Q54" s="12"/>
      <c r="R54" s="12"/>
      <c r="S54" s="12"/>
      <c r="T54" s="51"/>
      <c r="U54" s="51"/>
      <c r="V54" s="51"/>
    </row>
    <row r="55" spans="1:23" ht="15" customHeight="1" x14ac:dyDescent="0.25">
      <c r="B55" s="35">
        <v>0.78800000000000003</v>
      </c>
      <c r="C55" s="35"/>
      <c r="D55" s="35"/>
      <c r="H55" s="52">
        <v>-20</v>
      </c>
      <c r="I55" s="53"/>
      <c r="J55" s="54"/>
      <c r="N55" s="35">
        <v>0.79700000000000004</v>
      </c>
      <c r="O55" s="35"/>
      <c r="P55" s="35"/>
      <c r="T55" s="35">
        <v>0.48880000000000001</v>
      </c>
      <c r="U55" s="35"/>
      <c r="V55" s="35"/>
    </row>
    <row r="58" spans="1:23" ht="15" customHeight="1" x14ac:dyDescent="0.25">
      <c r="E58" s="28" t="s">
        <v>78</v>
      </c>
      <c r="F58" s="28"/>
      <c r="G58" s="28"/>
      <c r="H58" s="12"/>
      <c r="I58" s="12"/>
      <c r="J58" s="12"/>
      <c r="K58" s="29" t="s">
        <v>77</v>
      </c>
      <c r="L58" s="30"/>
      <c r="M58" s="31"/>
      <c r="N58" s="12"/>
      <c r="O58" s="12"/>
      <c r="P58" s="12"/>
      <c r="Q58" s="28" t="s">
        <v>75</v>
      </c>
      <c r="R58" s="28"/>
      <c r="S58" s="28"/>
    </row>
    <row r="59" spans="1:23" ht="15" customHeight="1" x14ac:dyDescent="0.25">
      <c r="E59" s="28"/>
      <c r="F59" s="28"/>
      <c r="G59" s="28"/>
      <c r="H59" s="12"/>
      <c r="I59" s="12"/>
      <c r="J59" s="12"/>
      <c r="K59" s="32"/>
      <c r="L59" s="33"/>
      <c r="M59" s="34"/>
      <c r="N59" s="12"/>
      <c r="O59" s="12"/>
      <c r="P59" s="12"/>
      <c r="Q59" s="28"/>
      <c r="R59" s="28"/>
      <c r="S59" s="28"/>
    </row>
    <row r="60" spans="1:23" ht="15" customHeight="1" x14ac:dyDescent="0.25">
      <c r="E60" s="35">
        <v>0.25180000000000002</v>
      </c>
      <c r="F60" s="35"/>
      <c r="G60" s="35"/>
      <c r="K60" s="35">
        <v>5.0700000000000002E-2</v>
      </c>
      <c r="L60" s="35"/>
      <c r="M60" s="35"/>
      <c r="Q60" s="35">
        <v>1.8200000000000001E-2</v>
      </c>
      <c r="R60" s="35"/>
      <c r="S60" s="35"/>
    </row>
    <row r="62" spans="1:23" ht="15" customHeight="1" x14ac:dyDescent="0.25">
      <c r="A62" s="29" t="s">
        <v>59</v>
      </c>
      <c r="B62" s="30"/>
      <c r="C62" s="31"/>
      <c r="D62" s="36" t="s">
        <v>60</v>
      </c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8"/>
    </row>
    <row r="63" spans="1:23" ht="15" customHeight="1" x14ac:dyDescent="0.25">
      <c r="A63" s="32"/>
      <c r="B63" s="33"/>
      <c r="C63" s="34"/>
      <c r="D63" s="39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1"/>
    </row>
    <row r="65" spans="5:21" ht="20.100000000000001" customHeight="1" x14ac:dyDescent="0.25">
      <c r="E65" s="42" t="s">
        <v>61</v>
      </c>
      <c r="F65" s="42"/>
      <c r="G65" s="42"/>
      <c r="H65" s="12"/>
      <c r="I65" s="12"/>
      <c r="J65" s="12"/>
      <c r="K65" s="42" t="s">
        <v>62</v>
      </c>
      <c r="L65" s="42"/>
      <c r="M65" s="42"/>
      <c r="N65" s="12"/>
      <c r="O65" s="12"/>
      <c r="P65" s="12"/>
      <c r="Q65" s="42" t="s">
        <v>79</v>
      </c>
      <c r="R65" s="42"/>
      <c r="S65" s="42"/>
    </row>
    <row r="66" spans="5:21" ht="20.100000000000001" customHeight="1" x14ac:dyDescent="0.25">
      <c r="E66" s="42"/>
      <c r="F66" s="42"/>
      <c r="G66" s="42"/>
      <c r="H66" s="12"/>
      <c r="I66" s="12"/>
      <c r="J66" s="12"/>
      <c r="K66" s="42"/>
      <c r="L66" s="42"/>
      <c r="M66" s="42"/>
      <c r="N66" s="12"/>
      <c r="O66" s="12"/>
      <c r="P66" s="12"/>
      <c r="Q66" s="42"/>
      <c r="R66" s="42"/>
      <c r="S66" s="42"/>
      <c r="U66" s="94"/>
    </row>
    <row r="67" spans="5:21" ht="15" customHeight="1" x14ac:dyDescent="0.25">
      <c r="E67" s="43">
        <f>(B55-N55)/((H55/100))*100</f>
        <v>4.5000000000000036</v>
      </c>
      <c r="F67" s="43"/>
      <c r="G67" s="43"/>
      <c r="K67" s="43">
        <f>T55-Q60</f>
        <v>0.47060000000000002</v>
      </c>
      <c r="L67" s="43"/>
      <c r="M67" s="43"/>
      <c r="Q67" s="44">
        <f>E60-K60</f>
        <v>0.20110000000000003</v>
      </c>
      <c r="R67" s="45"/>
      <c r="S67" s="46"/>
    </row>
    <row r="68" spans="5:21" ht="15" customHeight="1" x14ac:dyDescent="0.25">
      <c r="E68" s="50" t="str">
        <f>IF(E67&lt;=10,"APROVADO","REPROVADO")</f>
        <v>APROVADO</v>
      </c>
      <c r="F68" s="50"/>
      <c r="G68" s="50"/>
      <c r="K68" s="50" t="str">
        <f>IF(K67&lt;=1,"APROVADO","REPROVADO")</f>
        <v>APROVADO</v>
      </c>
      <c r="L68" s="50"/>
      <c r="M68" s="50"/>
      <c r="Q68" s="47"/>
      <c r="R68" s="48"/>
      <c r="S68" s="49"/>
    </row>
  </sheetData>
  <mergeCells count="67">
    <mergeCell ref="A26:P26"/>
    <mergeCell ref="A1:R6"/>
    <mergeCell ref="A8:C9"/>
    <mergeCell ref="D8:W9"/>
    <mergeCell ref="A11:L11"/>
    <mergeCell ref="M11:W11"/>
    <mergeCell ref="S1:W6"/>
    <mergeCell ref="A32:C32"/>
    <mergeCell ref="D32:F32"/>
    <mergeCell ref="G32:I32"/>
    <mergeCell ref="R30:W30"/>
    <mergeCell ref="A28:C29"/>
    <mergeCell ref="D28:F29"/>
    <mergeCell ref="G28:I29"/>
    <mergeCell ref="K28:P28"/>
    <mergeCell ref="K29:P33"/>
    <mergeCell ref="A30:C31"/>
    <mergeCell ref="D30:F31"/>
    <mergeCell ref="G30:I31"/>
    <mergeCell ref="R28:W29"/>
    <mergeCell ref="A35:C36"/>
    <mergeCell ref="D35:F36"/>
    <mergeCell ref="G35:I36"/>
    <mergeCell ref="J35:L36"/>
    <mergeCell ref="R33:W33"/>
    <mergeCell ref="R34:W35"/>
    <mergeCell ref="A41:W41"/>
    <mergeCell ref="A37:C39"/>
    <mergeCell ref="D37:F39"/>
    <mergeCell ref="G37:I39"/>
    <mergeCell ref="J37:L39"/>
    <mergeCell ref="R38:W39"/>
    <mergeCell ref="A50:C51"/>
    <mergeCell ref="D50:W51"/>
    <mergeCell ref="A47:W47"/>
    <mergeCell ref="A45:W45"/>
    <mergeCell ref="A43:W43"/>
    <mergeCell ref="T53:V54"/>
    <mergeCell ref="B55:D55"/>
    <mergeCell ref="H55:J55"/>
    <mergeCell ref="N55:P55"/>
    <mergeCell ref="T55:V55"/>
    <mergeCell ref="B53:D54"/>
    <mergeCell ref="H53:J54"/>
    <mergeCell ref="N53:P54"/>
    <mergeCell ref="E67:G67"/>
    <mergeCell ref="K67:M67"/>
    <mergeCell ref="Q67:S68"/>
    <mergeCell ref="E68:G68"/>
    <mergeCell ref="K68:M68"/>
    <mergeCell ref="A62:C63"/>
    <mergeCell ref="D62:W63"/>
    <mergeCell ref="E65:G66"/>
    <mergeCell ref="K65:M66"/>
    <mergeCell ref="Q65:S66"/>
    <mergeCell ref="E58:G59"/>
    <mergeCell ref="K58:M59"/>
    <mergeCell ref="Q58:S59"/>
    <mergeCell ref="E60:G60"/>
    <mergeCell ref="K60:M60"/>
    <mergeCell ref="Q60:S60"/>
    <mergeCell ref="R27:W27"/>
    <mergeCell ref="R26:W26"/>
    <mergeCell ref="R31:W31"/>
    <mergeCell ref="R37:W37"/>
    <mergeCell ref="R36:W36"/>
    <mergeCell ref="R32:W32"/>
  </mergeCells>
  <conditionalFormatting sqref="E68:G68">
    <cfRule type="expression" dxfId="6" priority="3" stopIfTrue="1">
      <formula>$E$67&gt;10</formula>
    </cfRule>
    <cfRule type="expression" dxfId="5" priority="4" stopIfTrue="1">
      <formula>$E$67&lt;=10</formula>
    </cfRule>
  </conditionalFormatting>
  <conditionalFormatting sqref="K68:M68">
    <cfRule type="expression" dxfId="4" priority="1" stopIfTrue="1">
      <formula>$K$67&gt;1</formula>
    </cfRule>
    <cfRule type="expression" dxfId="3" priority="2" stopIfTrue="1">
      <formula>$K$67&lt;=1</formula>
    </cfRule>
  </conditionalFormatting>
  <pageMargins left="0.7" right="0.7" top="0.75" bottom="0.75" header="0.3" footer="0.3"/>
  <pageSetup paperSize="9" orientation="portrait" r:id="rId1"/>
  <ignoredErrors>
    <ignoredError sqref="G35:L36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8AADE-1DA2-46A3-A81D-94AD25234E65}">
  <dimension ref="B2:T43"/>
  <sheetViews>
    <sheetView topLeftCell="A13" zoomScaleNormal="100" zoomScaleSheetLayoutView="25" workbookViewId="0">
      <selection activeCell="E21" sqref="E21:H21"/>
    </sheetView>
  </sheetViews>
  <sheetFormatPr defaultRowHeight="12" x14ac:dyDescent="0.25"/>
  <cols>
    <col min="1" max="1" width="2.42578125" style="3" customWidth="1"/>
    <col min="2" max="2" width="6.7109375" style="10" customWidth="1"/>
    <col min="3" max="4" width="10.7109375" style="3" customWidth="1"/>
    <col min="5" max="18" width="9.140625" style="3"/>
    <col min="19" max="20" width="10.7109375" style="3" customWidth="1"/>
    <col min="21" max="16384" width="9.140625" style="3"/>
  </cols>
  <sheetData>
    <row r="2" spans="2:20" ht="15" customHeight="1" x14ac:dyDescent="0.25">
      <c r="B2" s="92" t="s">
        <v>10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</row>
    <row r="3" spans="2:20" ht="15" customHeight="1" x14ac:dyDescent="0.25"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</row>
    <row r="4" spans="2:20" ht="15" customHeight="1" x14ac:dyDescent="0.25"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</row>
    <row r="5" spans="2:20" s="2" customFormat="1" ht="15" customHeight="1" x14ac:dyDescent="0.25">
      <c r="B5" s="8" t="s">
        <v>0</v>
      </c>
      <c r="C5" s="8" t="s">
        <v>9</v>
      </c>
      <c r="D5" s="8" t="s">
        <v>1</v>
      </c>
      <c r="E5" s="93" t="s">
        <v>4</v>
      </c>
      <c r="F5" s="93"/>
      <c r="G5" s="93"/>
      <c r="H5" s="93"/>
      <c r="I5" s="93" t="s">
        <v>5</v>
      </c>
      <c r="J5" s="93"/>
      <c r="K5" s="93"/>
      <c r="L5" s="93"/>
      <c r="M5" s="93"/>
      <c r="N5" s="93"/>
      <c r="O5" s="93"/>
      <c r="P5" s="93"/>
      <c r="Q5" s="93"/>
      <c r="R5" s="93"/>
      <c r="S5" s="8" t="s">
        <v>6</v>
      </c>
      <c r="T5" s="8" t="s">
        <v>2</v>
      </c>
    </row>
    <row r="6" spans="2:20" s="1" customFormat="1" ht="39.950000000000003" customHeight="1" x14ac:dyDescent="0.25">
      <c r="B6" s="9">
        <v>1</v>
      </c>
      <c r="C6" s="4" t="s">
        <v>11</v>
      </c>
      <c r="D6" s="4" t="s">
        <v>3</v>
      </c>
      <c r="E6" s="89" t="s">
        <v>14</v>
      </c>
      <c r="F6" s="89"/>
      <c r="G6" s="89"/>
      <c r="H6" s="89"/>
      <c r="I6" s="89" t="s">
        <v>13</v>
      </c>
      <c r="J6" s="89"/>
      <c r="K6" s="89"/>
      <c r="L6" s="89"/>
      <c r="M6" s="89"/>
      <c r="N6" s="89"/>
      <c r="O6" s="89"/>
      <c r="P6" s="89"/>
      <c r="Q6" s="89"/>
      <c r="R6" s="89"/>
      <c r="S6" s="11" t="s">
        <v>8</v>
      </c>
      <c r="T6" s="6">
        <v>45747</v>
      </c>
    </row>
    <row r="7" spans="2:20" s="1" customFormat="1" ht="39.950000000000003" customHeight="1" x14ac:dyDescent="0.25">
      <c r="B7" s="9">
        <v>2</v>
      </c>
      <c r="C7" s="4" t="s">
        <v>11</v>
      </c>
      <c r="D7" s="4" t="s">
        <v>3</v>
      </c>
      <c r="E7" s="89" t="s">
        <v>14</v>
      </c>
      <c r="F7" s="89"/>
      <c r="G7" s="89"/>
      <c r="H7" s="89"/>
      <c r="I7" s="89" t="s">
        <v>13</v>
      </c>
      <c r="J7" s="89"/>
      <c r="K7" s="89"/>
      <c r="L7" s="89"/>
      <c r="M7" s="89"/>
      <c r="N7" s="89"/>
      <c r="O7" s="89"/>
      <c r="P7" s="89"/>
      <c r="Q7" s="89"/>
      <c r="R7" s="89"/>
      <c r="S7" s="11" t="s">
        <v>8</v>
      </c>
      <c r="T7" s="6">
        <v>45748</v>
      </c>
    </row>
    <row r="8" spans="2:20" s="1" customFormat="1" ht="39.950000000000003" customHeight="1" x14ac:dyDescent="0.25">
      <c r="B8" s="9">
        <v>3</v>
      </c>
      <c r="C8" s="4" t="s">
        <v>11</v>
      </c>
      <c r="D8" s="4" t="s">
        <v>3</v>
      </c>
      <c r="E8" s="89" t="s">
        <v>14</v>
      </c>
      <c r="F8" s="89"/>
      <c r="G8" s="89"/>
      <c r="H8" s="89"/>
      <c r="I8" s="89" t="s">
        <v>13</v>
      </c>
      <c r="J8" s="89"/>
      <c r="K8" s="89"/>
      <c r="L8" s="89"/>
      <c r="M8" s="89"/>
      <c r="N8" s="89"/>
      <c r="O8" s="89"/>
      <c r="P8" s="89"/>
      <c r="Q8" s="89"/>
      <c r="R8" s="89"/>
      <c r="S8" s="11" t="s">
        <v>8</v>
      </c>
      <c r="T8" s="6">
        <v>45749</v>
      </c>
    </row>
    <row r="9" spans="2:20" s="1" customFormat="1" ht="39.950000000000003" customHeight="1" x14ac:dyDescent="0.25">
      <c r="B9" s="9">
        <v>4</v>
      </c>
      <c r="C9" s="4" t="s">
        <v>11</v>
      </c>
      <c r="D9" s="4" t="s">
        <v>3</v>
      </c>
      <c r="E9" s="89" t="s">
        <v>14</v>
      </c>
      <c r="F9" s="89"/>
      <c r="G9" s="89"/>
      <c r="H9" s="89"/>
      <c r="I9" s="89" t="s">
        <v>13</v>
      </c>
      <c r="J9" s="89"/>
      <c r="K9" s="89"/>
      <c r="L9" s="89"/>
      <c r="M9" s="89"/>
      <c r="N9" s="89"/>
      <c r="O9" s="89"/>
      <c r="P9" s="89"/>
      <c r="Q9" s="89"/>
      <c r="R9" s="89"/>
      <c r="S9" s="11" t="s">
        <v>8</v>
      </c>
      <c r="T9" s="6">
        <v>45750</v>
      </c>
    </row>
    <row r="10" spans="2:20" s="1" customFormat="1" ht="39.950000000000003" customHeight="1" x14ac:dyDescent="0.25">
      <c r="B10" s="9">
        <v>5</v>
      </c>
      <c r="C10" s="4" t="s">
        <v>11</v>
      </c>
      <c r="D10" s="4" t="s">
        <v>3</v>
      </c>
      <c r="E10" s="89" t="s">
        <v>14</v>
      </c>
      <c r="F10" s="89"/>
      <c r="G10" s="89"/>
      <c r="H10" s="89"/>
      <c r="I10" s="89" t="s">
        <v>15</v>
      </c>
      <c r="J10" s="89"/>
      <c r="K10" s="89"/>
      <c r="L10" s="89"/>
      <c r="M10" s="89"/>
      <c r="N10" s="89"/>
      <c r="O10" s="89"/>
      <c r="P10" s="89"/>
      <c r="Q10" s="89"/>
      <c r="R10" s="89"/>
      <c r="S10" s="11" t="s">
        <v>8</v>
      </c>
      <c r="T10" s="6">
        <v>45751</v>
      </c>
    </row>
    <row r="11" spans="2:20" s="1" customFormat="1" ht="39.950000000000003" customHeight="1" x14ac:dyDescent="0.25">
      <c r="B11" s="9">
        <v>6</v>
      </c>
      <c r="C11" s="4" t="s">
        <v>11</v>
      </c>
      <c r="D11" s="4" t="s">
        <v>3</v>
      </c>
      <c r="E11" s="89" t="s">
        <v>14</v>
      </c>
      <c r="F11" s="89"/>
      <c r="G11" s="89"/>
      <c r="H11" s="89"/>
      <c r="I11" s="89" t="s">
        <v>12</v>
      </c>
      <c r="J11" s="89"/>
      <c r="K11" s="89"/>
      <c r="L11" s="89"/>
      <c r="M11" s="89"/>
      <c r="N11" s="89"/>
      <c r="O11" s="89"/>
      <c r="P11" s="89"/>
      <c r="Q11" s="89"/>
      <c r="R11" s="89"/>
      <c r="S11" s="7" t="s">
        <v>8</v>
      </c>
      <c r="T11" s="6">
        <v>45752</v>
      </c>
    </row>
    <row r="12" spans="2:20" s="1" customFormat="1" ht="39.950000000000003" customHeight="1" x14ac:dyDescent="0.25">
      <c r="B12" s="9">
        <v>7</v>
      </c>
      <c r="C12" s="4" t="s">
        <v>11</v>
      </c>
      <c r="D12" s="4" t="s">
        <v>3</v>
      </c>
      <c r="E12" s="89" t="s">
        <v>16</v>
      </c>
      <c r="F12" s="89"/>
      <c r="G12" s="89"/>
      <c r="H12" s="89"/>
      <c r="I12" s="89" t="s">
        <v>17</v>
      </c>
      <c r="J12" s="89"/>
      <c r="K12" s="89"/>
      <c r="L12" s="89"/>
      <c r="M12" s="89"/>
      <c r="N12" s="89"/>
      <c r="O12" s="89"/>
      <c r="P12" s="89"/>
      <c r="Q12" s="89"/>
      <c r="R12" s="89"/>
      <c r="S12" s="7" t="s">
        <v>8</v>
      </c>
      <c r="T12" s="6">
        <v>45776</v>
      </c>
    </row>
    <row r="13" spans="2:20" s="1" customFormat="1" ht="39.950000000000003" customHeight="1" x14ac:dyDescent="0.25">
      <c r="B13" s="9">
        <v>8</v>
      </c>
      <c r="C13" s="4" t="s">
        <v>11</v>
      </c>
      <c r="D13" s="4" t="s">
        <v>3</v>
      </c>
      <c r="E13" s="89" t="s">
        <v>18</v>
      </c>
      <c r="F13" s="89"/>
      <c r="G13" s="89"/>
      <c r="H13" s="89"/>
      <c r="I13" s="89" t="s">
        <v>19</v>
      </c>
      <c r="J13" s="89"/>
      <c r="K13" s="89"/>
      <c r="L13" s="89"/>
      <c r="M13" s="89"/>
      <c r="N13" s="89"/>
      <c r="O13" s="89"/>
      <c r="P13" s="89"/>
      <c r="Q13" s="89"/>
      <c r="R13" s="89"/>
      <c r="S13" s="7" t="s">
        <v>8</v>
      </c>
      <c r="T13" s="6">
        <v>45776</v>
      </c>
    </row>
    <row r="14" spans="2:20" s="1" customFormat="1" ht="39.950000000000003" customHeight="1" x14ac:dyDescent="0.25">
      <c r="B14" s="9">
        <v>9</v>
      </c>
      <c r="C14" s="4" t="s">
        <v>11</v>
      </c>
      <c r="D14" s="7" t="s">
        <v>3</v>
      </c>
      <c r="E14" s="89" t="s">
        <v>20</v>
      </c>
      <c r="F14" s="89"/>
      <c r="G14" s="89"/>
      <c r="H14" s="89"/>
      <c r="I14" s="89" t="s">
        <v>21</v>
      </c>
      <c r="J14" s="89"/>
      <c r="K14" s="89"/>
      <c r="L14" s="89"/>
      <c r="M14" s="89"/>
      <c r="N14" s="89"/>
      <c r="O14" s="89"/>
      <c r="P14" s="89"/>
      <c r="Q14" s="89"/>
      <c r="R14" s="89"/>
      <c r="S14" s="7" t="s">
        <v>8</v>
      </c>
      <c r="T14" s="6">
        <v>45776</v>
      </c>
    </row>
    <row r="15" spans="2:20" s="1" customFormat="1" ht="39.950000000000003" customHeight="1" x14ac:dyDescent="0.25">
      <c r="B15" s="9">
        <v>10</v>
      </c>
      <c r="C15" s="4" t="s">
        <v>22</v>
      </c>
      <c r="D15" s="5" t="s">
        <v>23</v>
      </c>
      <c r="E15" s="89" t="s">
        <v>24</v>
      </c>
      <c r="F15" s="89"/>
      <c r="G15" s="89"/>
      <c r="H15" s="89"/>
      <c r="I15" s="89" t="s">
        <v>25</v>
      </c>
      <c r="J15" s="89"/>
      <c r="K15" s="89"/>
      <c r="L15" s="89"/>
      <c r="M15" s="89"/>
      <c r="N15" s="89"/>
      <c r="O15" s="89"/>
      <c r="P15" s="89"/>
      <c r="Q15" s="89"/>
      <c r="R15" s="89"/>
      <c r="S15" s="7" t="s">
        <v>8</v>
      </c>
      <c r="T15" s="6">
        <v>45776</v>
      </c>
    </row>
    <row r="16" spans="2:20" s="1" customFormat="1" ht="39.950000000000003" customHeight="1" x14ac:dyDescent="0.25">
      <c r="B16" s="9">
        <v>11</v>
      </c>
      <c r="C16" s="4" t="s">
        <v>26</v>
      </c>
      <c r="D16" s="5" t="s">
        <v>27</v>
      </c>
      <c r="E16" s="89" t="s">
        <v>29</v>
      </c>
      <c r="F16" s="89"/>
      <c r="G16" s="89"/>
      <c r="H16" s="89"/>
      <c r="I16" s="89" t="s">
        <v>31</v>
      </c>
      <c r="J16" s="89"/>
      <c r="K16" s="89"/>
      <c r="L16" s="89"/>
      <c r="M16" s="89"/>
      <c r="N16" s="89"/>
      <c r="O16" s="89"/>
      <c r="P16" s="89"/>
      <c r="Q16" s="89"/>
      <c r="R16" s="89"/>
      <c r="S16" s="7" t="s">
        <v>8</v>
      </c>
      <c r="T16" s="6">
        <v>45777</v>
      </c>
    </row>
    <row r="17" spans="2:20" s="1" customFormat="1" ht="39.950000000000003" customHeight="1" x14ac:dyDescent="0.25">
      <c r="B17" s="9">
        <v>12</v>
      </c>
      <c r="C17" s="4" t="s">
        <v>26</v>
      </c>
      <c r="D17" s="5" t="s">
        <v>27</v>
      </c>
      <c r="E17" s="89" t="s">
        <v>28</v>
      </c>
      <c r="F17" s="89"/>
      <c r="G17" s="89"/>
      <c r="H17" s="89"/>
      <c r="I17" s="89" t="s">
        <v>30</v>
      </c>
      <c r="J17" s="89"/>
      <c r="K17" s="89"/>
      <c r="L17" s="89"/>
      <c r="M17" s="89"/>
      <c r="N17" s="89"/>
      <c r="O17" s="89"/>
      <c r="P17" s="89"/>
      <c r="Q17" s="89"/>
      <c r="R17" s="89"/>
      <c r="S17" s="7" t="s">
        <v>8</v>
      </c>
      <c r="T17" s="6">
        <v>45778</v>
      </c>
    </row>
    <row r="18" spans="2:20" s="1" customFormat="1" ht="39.950000000000003" customHeight="1" x14ac:dyDescent="0.25">
      <c r="B18" s="9">
        <v>13</v>
      </c>
      <c r="C18" s="4" t="s">
        <v>26</v>
      </c>
      <c r="D18" s="5" t="s">
        <v>27</v>
      </c>
      <c r="E18" s="89" t="s">
        <v>33</v>
      </c>
      <c r="F18" s="89"/>
      <c r="G18" s="89"/>
      <c r="H18" s="89"/>
      <c r="I18" s="89" t="s">
        <v>32</v>
      </c>
      <c r="J18" s="89"/>
      <c r="K18" s="89"/>
      <c r="L18" s="89"/>
      <c r="M18" s="89"/>
      <c r="N18" s="89"/>
      <c r="O18" s="89"/>
      <c r="P18" s="89"/>
      <c r="Q18" s="89"/>
      <c r="R18" s="89"/>
      <c r="S18" s="7" t="s">
        <v>8</v>
      </c>
      <c r="T18" s="6">
        <v>45778</v>
      </c>
    </row>
    <row r="19" spans="2:20" s="1" customFormat="1" ht="39.950000000000003" customHeight="1" x14ac:dyDescent="0.25">
      <c r="B19" s="9">
        <v>14</v>
      </c>
      <c r="C19" s="4" t="s">
        <v>26</v>
      </c>
      <c r="D19" s="5" t="s">
        <v>27</v>
      </c>
      <c r="E19" s="89" t="s">
        <v>34</v>
      </c>
      <c r="F19" s="89"/>
      <c r="G19" s="89"/>
      <c r="H19" s="89"/>
      <c r="I19" s="89" t="s">
        <v>35</v>
      </c>
      <c r="J19" s="89"/>
      <c r="K19" s="89"/>
      <c r="L19" s="89"/>
      <c r="M19" s="89"/>
      <c r="N19" s="89"/>
      <c r="O19" s="89"/>
      <c r="P19" s="89"/>
      <c r="Q19" s="89"/>
      <c r="R19" s="89"/>
      <c r="S19" s="7" t="s">
        <v>8</v>
      </c>
      <c r="T19" s="6">
        <v>45778</v>
      </c>
    </row>
    <row r="20" spans="2:20" s="1" customFormat="1" ht="39.950000000000003" customHeight="1" x14ac:dyDescent="0.25">
      <c r="B20" s="9">
        <v>15</v>
      </c>
      <c r="C20" s="4" t="s">
        <v>26</v>
      </c>
      <c r="D20" s="5" t="s">
        <v>27</v>
      </c>
      <c r="E20" s="89" t="s">
        <v>36</v>
      </c>
      <c r="F20" s="89"/>
      <c r="G20" s="89"/>
      <c r="H20" s="89"/>
      <c r="I20" s="89" t="s">
        <v>37</v>
      </c>
      <c r="J20" s="89"/>
      <c r="K20" s="89"/>
      <c r="L20" s="89"/>
      <c r="M20" s="89"/>
      <c r="N20" s="89"/>
      <c r="O20" s="89"/>
      <c r="P20" s="89"/>
      <c r="Q20" s="89"/>
      <c r="R20" s="89"/>
      <c r="S20" s="7" t="s">
        <v>8</v>
      </c>
      <c r="T20" s="6">
        <v>45778</v>
      </c>
    </row>
    <row r="21" spans="2:20" s="1" customFormat="1" ht="39.950000000000003" customHeight="1" x14ac:dyDescent="0.25">
      <c r="B21" s="9">
        <v>16</v>
      </c>
      <c r="C21" s="4" t="s">
        <v>26</v>
      </c>
      <c r="D21" s="5" t="s">
        <v>27</v>
      </c>
      <c r="E21" s="89" t="s">
        <v>38</v>
      </c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7" t="s">
        <v>7</v>
      </c>
      <c r="T21" s="6"/>
    </row>
    <row r="22" spans="2:20" s="1" customFormat="1" ht="39.950000000000003" customHeight="1" x14ac:dyDescent="0.25">
      <c r="B22" s="9">
        <v>17</v>
      </c>
      <c r="C22" s="4"/>
      <c r="D22" s="5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7" t="s">
        <v>7</v>
      </c>
      <c r="T22" s="6"/>
    </row>
    <row r="23" spans="2:20" s="1" customFormat="1" ht="39.950000000000003" customHeight="1" x14ac:dyDescent="0.25">
      <c r="B23" s="9">
        <v>18</v>
      </c>
      <c r="C23" s="4"/>
      <c r="D23" s="5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7" t="s">
        <v>7</v>
      </c>
      <c r="T23" s="6"/>
    </row>
    <row r="24" spans="2:20" s="1" customFormat="1" ht="39.950000000000003" customHeight="1" x14ac:dyDescent="0.25">
      <c r="B24" s="9">
        <v>19</v>
      </c>
      <c r="C24" s="4"/>
      <c r="D24" s="5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7" t="s">
        <v>7</v>
      </c>
      <c r="T24" s="6"/>
    </row>
    <row r="25" spans="2:20" s="1" customFormat="1" ht="39.950000000000003" customHeight="1" x14ac:dyDescent="0.25">
      <c r="B25" s="9">
        <v>20</v>
      </c>
      <c r="C25" s="4"/>
      <c r="D25" s="5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7" t="s">
        <v>7</v>
      </c>
      <c r="T25" s="6"/>
    </row>
    <row r="26" spans="2:20" s="1" customFormat="1" ht="39.950000000000003" customHeight="1" x14ac:dyDescent="0.25">
      <c r="B26" s="9">
        <v>21</v>
      </c>
      <c r="C26" s="4"/>
      <c r="D26" s="5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7" t="s">
        <v>7</v>
      </c>
      <c r="T26" s="6"/>
    </row>
    <row r="27" spans="2:20" s="1" customFormat="1" ht="39.950000000000003" customHeight="1" x14ac:dyDescent="0.25">
      <c r="B27" s="9">
        <v>22</v>
      </c>
      <c r="C27" s="4"/>
      <c r="D27" s="5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7" t="s">
        <v>7</v>
      </c>
      <c r="T27" s="6"/>
    </row>
    <row r="28" spans="2:20" s="1" customFormat="1" ht="39.950000000000003" customHeight="1" x14ac:dyDescent="0.25">
      <c r="B28" s="9">
        <v>23</v>
      </c>
      <c r="C28" s="4"/>
      <c r="D28" s="7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7" t="s">
        <v>7</v>
      </c>
      <c r="T28" s="6"/>
    </row>
    <row r="29" spans="2:20" s="1" customFormat="1" ht="39.950000000000003" customHeight="1" x14ac:dyDescent="0.25">
      <c r="B29" s="9">
        <v>24</v>
      </c>
      <c r="C29" s="4"/>
      <c r="D29" s="7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7" t="s">
        <v>7</v>
      </c>
      <c r="T29" s="6"/>
    </row>
    <row r="30" spans="2:20" s="1" customFormat="1" ht="39.950000000000003" customHeight="1" x14ac:dyDescent="0.25">
      <c r="B30" s="9">
        <v>25</v>
      </c>
      <c r="C30" s="4"/>
      <c r="D30" s="7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7" t="s">
        <v>7</v>
      </c>
      <c r="T30" s="6"/>
    </row>
    <row r="31" spans="2:20" s="1" customFormat="1" ht="39.950000000000003" customHeight="1" x14ac:dyDescent="0.25">
      <c r="B31" s="9">
        <v>26</v>
      </c>
      <c r="C31" s="4"/>
      <c r="D31" s="7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7" t="s">
        <v>7</v>
      </c>
      <c r="T31" s="6"/>
    </row>
    <row r="32" spans="2:20" s="1" customFormat="1" ht="39.950000000000003" customHeight="1" x14ac:dyDescent="0.25">
      <c r="B32" s="9">
        <v>27</v>
      </c>
      <c r="C32" s="4"/>
      <c r="D32" s="7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7" t="s">
        <v>7</v>
      </c>
      <c r="T32" s="6"/>
    </row>
    <row r="33" spans="2:20" s="1" customFormat="1" ht="39.950000000000003" customHeight="1" x14ac:dyDescent="0.25">
      <c r="B33" s="9">
        <v>28</v>
      </c>
      <c r="C33" s="4"/>
      <c r="D33" s="7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7" t="s">
        <v>7</v>
      </c>
      <c r="T33" s="6"/>
    </row>
    <row r="34" spans="2:20" s="1" customFormat="1" ht="39.950000000000003" customHeight="1" x14ac:dyDescent="0.25">
      <c r="B34" s="9">
        <v>29</v>
      </c>
      <c r="C34" s="4"/>
      <c r="D34" s="7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7" t="s">
        <v>7</v>
      </c>
      <c r="T34" s="6"/>
    </row>
    <row r="35" spans="2:20" s="1" customFormat="1" ht="39.950000000000003" customHeight="1" x14ac:dyDescent="0.25">
      <c r="B35" s="9">
        <v>30</v>
      </c>
      <c r="C35" s="4"/>
      <c r="D35" s="7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7" t="s">
        <v>7</v>
      </c>
      <c r="T35" s="6"/>
    </row>
    <row r="36" spans="2:20" s="1" customFormat="1" ht="39.950000000000003" customHeight="1" x14ac:dyDescent="0.25">
      <c r="B36" s="9">
        <v>31</v>
      </c>
      <c r="C36" s="4"/>
      <c r="D36" s="7"/>
      <c r="E36" s="90"/>
      <c r="F36" s="91"/>
      <c r="G36" s="91"/>
      <c r="H36" s="91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7" t="s">
        <v>7</v>
      </c>
      <c r="T36" s="6"/>
    </row>
    <row r="37" spans="2:20" s="1" customFormat="1" ht="39.950000000000003" customHeight="1" x14ac:dyDescent="0.25">
      <c r="B37" s="9">
        <v>32</v>
      </c>
      <c r="C37" s="4"/>
      <c r="D37" s="5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7" t="s">
        <v>7</v>
      </c>
      <c r="T37" s="6"/>
    </row>
    <row r="38" spans="2:20" s="1" customFormat="1" ht="39.950000000000003" customHeight="1" x14ac:dyDescent="0.25">
      <c r="B38" s="9">
        <v>33</v>
      </c>
      <c r="C38" s="4"/>
      <c r="D38" s="5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7" t="s">
        <v>7</v>
      </c>
      <c r="T38" s="6"/>
    </row>
    <row r="39" spans="2:20" s="1" customFormat="1" ht="39.950000000000003" customHeight="1" x14ac:dyDescent="0.25">
      <c r="B39" s="9">
        <v>34</v>
      </c>
      <c r="C39" s="4"/>
      <c r="D39" s="5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7" t="s">
        <v>7</v>
      </c>
      <c r="T39" s="6"/>
    </row>
    <row r="40" spans="2:20" s="1" customFormat="1" ht="39.950000000000003" customHeight="1" x14ac:dyDescent="0.25">
      <c r="B40" s="9">
        <v>35</v>
      </c>
      <c r="C40" s="4"/>
      <c r="D40" s="5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7" t="s">
        <v>7</v>
      </c>
      <c r="T40" s="6"/>
    </row>
    <row r="41" spans="2:20" s="1" customFormat="1" ht="39.950000000000003" customHeight="1" x14ac:dyDescent="0.25">
      <c r="B41" s="9">
        <v>36</v>
      </c>
      <c r="C41" s="4"/>
      <c r="D41" s="5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7" t="s">
        <v>7</v>
      </c>
      <c r="T41" s="6"/>
    </row>
    <row r="42" spans="2:20" s="1" customFormat="1" ht="39.950000000000003" customHeight="1" x14ac:dyDescent="0.25">
      <c r="B42" s="9">
        <v>37</v>
      </c>
      <c r="C42" s="4"/>
      <c r="D42" s="5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7" t="s">
        <v>7</v>
      </c>
      <c r="T42" s="6"/>
    </row>
    <row r="43" spans="2:20" s="1" customFormat="1" ht="39.950000000000003" customHeight="1" x14ac:dyDescent="0.25">
      <c r="B43" s="9">
        <v>38</v>
      </c>
      <c r="C43" s="4"/>
      <c r="D43" s="5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7" t="s">
        <v>7</v>
      </c>
      <c r="T43" s="6"/>
    </row>
  </sheetData>
  <autoFilter ref="B5:T43" xr:uid="{BF688A85-CCC0-44A9-8158-A1E22BDA1B5F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</autoFilter>
  <mergeCells count="79">
    <mergeCell ref="E7:H7"/>
    <mergeCell ref="I7:R7"/>
    <mergeCell ref="E8:H8"/>
    <mergeCell ref="I8:R8"/>
    <mergeCell ref="B2:T4"/>
    <mergeCell ref="E5:H5"/>
    <mergeCell ref="I5:R5"/>
    <mergeCell ref="E6:H6"/>
    <mergeCell ref="I6:R6"/>
    <mergeCell ref="E12:H12"/>
    <mergeCell ref="I11:R11"/>
    <mergeCell ref="I12:R12"/>
    <mergeCell ref="E9:H9"/>
    <mergeCell ref="I9:R9"/>
    <mergeCell ref="E10:H10"/>
    <mergeCell ref="I10:R10"/>
    <mergeCell ref="E11:H11"/>
    <mergeCell ref="E15:H15"/>
    <mergeCell ref="I15:R15"/>
    <mergeCell ref="E16:H16"/>
    <mergeCell ref="I16:R16"/>
    <mergeCell ref="E13:H13"/>
    <mergeCell ref="I13:R13"/>
    <mergeCell ref="E14:H14"/>
    <mergeCell ref="I14:R14"/>
    <mergeCell ref="E19:H19"/>
    <mergeCell ref="I19:R19"/>
    <mergeCell ref="E20:H20"/>
    <mergeCell ref="I20:R20"/>
    <mergeCell ref="E17:H17"/>
    <mergeCell ref="I17:R17"/>
    <mergeCell ref="E18:H18"/>
    <mergeCell ref="I18:R18"/>
    <mergeCell ref="E23:H23"/>
    <mergeCell ref="I23:R23"/>
    <mergeCell ref="E24:H24"/>
    <mergeCell ref="I24:R24"/>
    <mergeCell ref="E21:H21"/>
    <mergeCell ref="I21:R21"/>
    <mergeCell ref="E22:H22"/>
    <mergeCell ref="I22:R22"/>
    <mergeCell ref="E27:H27"/>
    <mergeCell ref="I27:R27"/>
    <mergeCell ref="E28:H28"/>
    <mergeCell ref="I28:R28"/>
    <mergeCell ref="E25:H25"/>
    <mergeCell ref="I25:R25"/>
    <mergeCell ref="E26:H26"/>
    <mergeCell ref="I26:R26"/>
    <mergeCell ref="E31:H31"/>
    <mergeCell ref="I31:R31"/>
    <mergeCell ref="E32:H32"/>
    <mergeCell ref="I32:R32"/>
    <mergeCell ref="E29:H29"/>
    <mergeCell ref="I29:R29"/>
    <mergeCell ref="E30:H30"/>
    <mergeCell ref="I30:R30"/>
    <mergeCell ref="E35:H35"/>
    <mergeCell ref="I35:R35"/>
    <mergeCell ref="E36:H36"/>
    <mergeCell ref="I36:R36"/>
    <mergeCell ref="E33:H33"/>
    <mergeCell ref="I33:R33"/>
    <mergeCell ref="E34:H34"/>
    <mergeCell ref="I34:R34"/>
    <mergeCell ref="E39:H39"/>
    <mergeCell ref="I39:R39"/>
    <mergeCell ref="E40:H40"/>
    <mergeCell ref="I40:R40"/>
    <mergeCell ref="E37:H37"/>
    <mergeCell ref="I37:R37"/>
    <mergeCell ref="E38:H38"/>
    <mergeCell ref="I38:R38"/>
    <mergeCell ref="E43:H43"/>
    <mergeCell ref="I43:R43"/>
    <mergeCell ref="E41:H41"/>
    <mergeCell ref="I41:R41"/>
    <mergeCell ref="E42:H42"/>
    <mergeCell ref="I42:R42"/>
  </mergeCells>
  <phoneticPr fontId="1" type="noConversion"/>
  <conditionalFormatting sqref="S6:S43">
    <cfRule type="containsText" dxfId="2" priority="1" operator="containsText" text="Não">
      <formula>NOT(ISERROR(SEARCH("Não",S6)))</formula>
    </cfRule>
    <cfRule type="containsText" dxfId="1" priority="2" operator="containsText" text="Sim">
      <formula>NOT(ISERROR(SEARCH("Sim",S6)))</formula>
    </cfRule>
    <cfRule type="containsText" dxfId="0" priority="3" operator="containsText" text="N/A">
      <formula>NOT(ISERROR(SEARCH("N/A",S6)))</formula>
    </cfRule>
  </conditionalFormatting>
  <dataValidations count="3">
    <dataValidation type="list" allowBlank="1" showInputMessage="1" showErrorMessage="1" errorTitle="Dado Invalido" error="Selecione na lista suspensa fornecida." promptTitle="Selecione na Lista" prompt="Selecione Sim ou Não" sqref="S6:S43" xr:uid="{CF6E2794-DDD8-47DE-8F50-646782604046}">
      <formula1>"N/A, Sim, Não"</formula1>
    </dataValidation>
    <dataValidation type="list" allowBlank="1" showInputMessage="1" showErrorMessage="1" promptTitle="Selecione na Lista" prompt="Selecione o tipo de condição para o ensaio." sqref="C12:C43" xr:uid="{51AF3188-1A65-48D2-A086-3EE1ED01AE80}">
      <formula1>"PRT, SFC, Controle, Proteção, Compensador, Auxiliares,Mecânico"</formula1>
    </dataValidation>
    <dataValidation type="list" allowBlank="1" showInputMessage="1" showErrorMessage="1" promptTitle="Selecione na Lista" prompt="Selecione o tipo de sistema." sqref="C6:C11" xr:uid="{99497430-40B2-4ECF-9BC7-C08A7896EB1A}">
      <formula1>"PRT, SFC, Controle, Proteção, Compensador, Auxiliares,Mecânico"</formula1>
    </dataValidation>
  </dataValidations>
  <pageMargins left="0.511811024" right="0.511811024" top="0.78740157499999996" bottom="0.78740157499999996" header="0.31496062000000002" footer="0.31496062000000002"/>
  <pageSetup paperSize="9" scale="2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2D7F9-6DF5-4497-B586-8D0C9B093E59}">
  <dimension ref="A1"/>
  <sheetViews>
    <sheetView workbookViewId="0">
      <selection activeCell="C22" sqref="C22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3778c0-e28b-4222-87ec-b6bd61b472ff">
      <Terms xmlns="http://schemas.microsoft.com/office/infopath/2007/PartnerControls"/>
    </lcf76f155ced4ddcb4097134ff3c332f>
    <TaxCatchAll xmlns="2beeb941-0ae3-4e32-8df4-24b29b939e3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BA46E4C567521468DF7F4F5F1F8D06F" ma:contentTypeVersion="13" ma:contentTypeDescription="Crie um novo documento." ma:contentTypeScope="" ma:versionID="ce7c891b2affdd318150e0df8ffc5a26">
  <xsd:schema xmlns:xsd="http://www.w3.org/2001/XMLSchema" xmlns:xs="http://www.w3.org/2001/XMLSchema" xmlns:p="http://schemas.microsoft.com/office/2006/metadata/properties" xmlns:ns2="023778c0-e28b-4222-87ec-b6bd61b472ff" xmlns:ns3="2beeb941-0ae3-4e32-8df4-24b29b939e34" targetNamespace="http://schemas.microsoft.com/office/2006/metadata/properties" ma:root="true" ma:fieldsID="23a1f8e02ef74e5150e34e708776a143" ns2:_="" ns3:_="">
    <xsd:import namespace="023778c0-e28b-4222-87ec-b6bd61b472ff"/>
    <xsd:import namespace="2beeb941-0ae3-4e32-8df4-24b29b939e3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3778c0-e28b-4222-87ec-b6bd61b472f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3e8e6b-dd5a-4da9-b63f-71f2171591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eeb941-0ae3-4e32-8df4-24b29b939e3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05c86018-2b74-41d7-b781-f7a54115a015}" ma:internalName="TaxCatchAll" ma:showField="CatchAllData" ma:web="2beeb941-0ae3-4e32-8df4-24b29b939e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D02538-42D7-4E85-B5B1-D5062D7E7606}">
  <ds:schemaRefs>
    <ds:schemaRef ds:uri="http://schemas.microsoft.com/office/2006/metadata/properties"/>
    <ds:schemaRef ds:uri="http://schemas.microsoft.com/office/infopath/2007/PartnerControls"/>
    <ds:schemaRef ds:uri="023778c0-e28b-4222-87ec-b6bd61b472ff"/>
    <ds:schemaRef ds:uri="2beeb941-0ae3-4e32-8df4-24b29b939e34"/>
  </ds:schemaRefs>
</ds:datastoreItem>
</file>

<file path=customXml/itemProps2.xml><?xml version="1.0" encoding="utf-8"?>
<ds:datastoreItem xmlns:ds="http://schemas.openxmlformats.org/officeDocument/2006/customXml" ds:itemID="{FECB8636-58DB-4368-9F74-20AC51E546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D59D87-A6B0-4EEA-8998-C6A9FADDB5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3778c0-e28b-4222-87ec-b6bd61b472ff"/>
    <ds:schemaRef ds:uri="2beeb941-0ae3-4e32-8df4-24b29b939e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Tensão a Vázio</vt:lpstr>
      <vt:lpstr>Diário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Furtado</dc:creator>
  <cp:lastModifiedBy>Douglas Vieira de Azevedo Furtado</cp:lastModifiedBy>
  <cp:lastPrinted>2026-02-01T19:01:27Z</cp:lastPrinted>
  <dcterms:created xsi:type="dcterms:W3CDTF">2025-01-04T17:00:34Z</dcterms:created>
  <dcterms:modified xsi:type="dcterms:W3CDTF">2026-03-26T02:27:58Z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0x0101005BA46E4C567521468DF7F4F5F1F8D06F</vt:lpwstr>
  </property>
  <property fmtid="{D5CDD505-2E9C-101B-9397-08002B2CF9AE}" pid="3" name="MediaServiceImageTags">
    <vt:lpwstr/>
  </property>
</Properties>
</file>